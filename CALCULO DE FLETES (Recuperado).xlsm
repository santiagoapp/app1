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b483e38f95d40c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defaultThemeVersion="124226"/>
  <bookViews>
    <workbookView xWindow="0" yWindow="0" windowWidth="7680" windowHeight="1188" tabRatio="689" firstSheet="1" activeTab="9"/>
  </bookViews>
  <sheets>
    <sheet name="cajas" sheetId="273" r:id="rId1"/>
    <sheet name="inputs" sheetId="261" r:id="rId2"/>
    <sheet name="Principal" sheetId="271" r:id="rId3"/>
    <sheet name="CLP Solver Console" sheetId="274" r:id="rId4"/>
    <sheet name="KITS" sheetId="291" r:id="rId5"/>
    <sheet name="SOFTGASKET" sheetId="290" r:id="rId6"/>
    <sheet name="ESPÁRRAGOS" sheetId="289" r:id="rId7"/>
    <sheet name="RING JOINTS" sheetId="275" r:id="rId8"/>
    <sheet name="ESPIROMETALICOS" sheetId="272" r:id="rId9"/>
    <sheet name="ACOPLES" sheetId="292" r:id="rId10"/>
  </sheets>
  <functionGroups builtInGroupCount="17"/>
  <definedNames>
    <definedName name="_xlnm._FilterDatabase" localSheetId="4" hidden="1">KITS!$A$3:$F$3</definedName>
  </definedNames>
  <calcPr calcId="145621"/>
</workbook>
</file>

<file path=xl/calcChain.xml><?xml version="1.0" encoding="utf-8"?>
<calcChain xmlns="http://schemas.openxmlformats.org/spreadsheetml/2006/main">
  <c r="E13" i="292" l="1"/>
  <c r="E11" i="292"/>
  <c r="E4" i="292"/>
  <c r="E3" i="292"/>
  <c r="B12" i="292"/>
  <c r="B4" i="292"/>
  <c r="B3" i="292"/>
  <c r="XFD7" i="271"/>
  <c r="XFC7" i="271"/>
  <c r="XFB7" i="271"/>
  <c r="XFA7" i="271"/>
  <c r="XEZ7" i="271"/>
  <c r="XEY7" i="271"/>
  <c r="XEX7" i="271"/>
  <c r="XEW7" i="271"/>
  <c r="XEV7" i="271" s="1"/>
  <c r="XFD8" i="271"/>
  <c r="XEX8" i="271"/>
  <c r="XFC8" i="271"/>
  <c r="XFB8" i="271"/>
  <c r="XFA8" i="271"/>
  <c r="XEZ8" i="271"/>
  <c r="XEY8" i="271"/>
  <c r="XEW8" i="271"/>
  <c r="XEV8" i="271" s="1"/>
  <c r="XFD6" i="271"/>
  <c r="XEX6" i="271"/>
  <c r="XEV6" i="271"/>
  <c r="XFC6" i="271"/>
  <c r="XFB6" i="271"/>
  <c r="XFA6" i="271"/>
  <c r="XEZ6" i="271"/>
  <c r="XEY6" i="271"/>
  <c r="XEW6" i="271"/>
  <c r="J73" i="291"/>
  <c r="AA68" i="291"/>
  <c r="Z68" i="291"/>
  <c r="Y68" i="291"/>
  <c r="X68" i="291"/>
  <c r="W68" i="291"/>
  <c r="T68" i="291"/>
  <c r="S68" i="291"/>
  <c r="R68" i="291"/>
  <c r="Q68" i="291"/>
  <c r="P68" i="291"/>
  <c r="AA67" i="291"/>
  <c r="Z67" i="291"/>
  <c r="Y67" i="291"/>
  <c r="X67" i="291"/>
  <c r="W67" i="291"/>
  <c r="T67" i="291"/>
  <c r="S67" i="291"/>
  <c r="R67" i="291"/>
  <c r="Q67" i="291"/>
  <c r="P67" i="291"/>
  <c r="AA66" i="291"/>
  <c r="Z66" i="291"/>
  <c r="Y66" i="291"/>
  <c r="X66" i="291"/>
  <c r="W66" i="291"/>
  <c r="T66" i="291"/>
  <c r="S66" i="291"/>
  <c r="R66" i="291"/>
  <c r="Q66" i="291"/>
  <c r="P66" i="291"/>
  <c r="AA65" i="291"/>
  <c r="Z65" i="291"/>
  <c r="Y65" i="291"/>
  <c r="X65" i="291"/>
  <c r="W65" i="291"/>
  <c r="T65" i="291"/>
  <c r="S65" i="291"/>
  <c r="R65" i="291"/>
  <c r="Q65" i="291"/>
  <c r="P65" i="291"/>
  <c r="AA64" i="291"/>
  <c r="Z64" i="291"/>
  <c r="Y64" i="291"/>
  <c r="X64" i="291"/>
  <c r="W64" i="291"/>
  <c r="T64" i="291"/>
  <c r="S64" i="291"/>
  <c r="R64" i="291"/>
  <c r="Q64" i="291"/>
  <c r="P64" i="291"/>
  <c r="AA63" i="291"/>
  <c r="Z63" i="291"/>
  <c r="Y63" i="291"/>
  <c r="X63" i="291"/>
  <c r="W63" i="291"/>
  <c r="T63" i="291"/>
  <c r="S63" i="291"/>
  <c r="R63" i="291"/>
  <c r="Q63" i="291"/>
  <c r="P63" i="291"/>
  <c r="AA62" i="291"/>
  <c r="Z62" i="291"/>
  <c r="Y62" i="291"/>
  <c r="X62" i="291"/>
  <c r="W62" i="291"/>
  <c r="T62" i="291"/>
  <c r="S62" i="291"/>
  <c r="R62" i="291"/>
  <c r="Q62" i="291"/>
  <c r="P62" i="291"/>
  <c r="AA61" i="291"/>
  <c r="Z61" i="291"/>
  <c r="Y61" i="291"/>
  <c r="X61" i="291"/>
  <c r="W61" i="291"/>
  <c r="T61" i="291"/>
  <c r="S61" i="291"/>
  <c r="R61" i="291"/>
  <c r="Q61" i="291"/>
  <c r="P61" i="291"/>
  <c r="AA60" i="291"/>
  <c r="Z60" i="291"/>
  <c r="Y60" i="291"/>
  <c r="X60" i="291"/>
  <c r="W60" i="291"/>
  <c r="T60" i="291"/>
  <c r="S60" i="291"/>
  <c r="R60" i="291"/>
  <c r="Q60" i="291"/>
  <c r="P60" i="291"/>
  <c r="AA59" i="291"/>
  <c r="Z59" i="291"/>
  <c r="Y59" i="291"/>
  <c r="X59" i="291"/>
  <c r="W59" i="291"/>
  <c r="T59" i="291"/>
  <c r="S59" i="291"/>
  <c r="R59" i="291"/>
  <c r="Q59" i="291"/>
  <c r="P59" i="291"/>
  <c r="AA58" i="291"/>
  <c r="Z58" i="291"/>
  <c r="Y58" i="291"/>
  <c r="X58" i="291"/>
  <c r="W58" i="291"/>
  <c r="T58" i="291"/>
  <c r="S58" i="291"/>
  <c r="R58" i="291"/>
  <c r="Q58" i="291"/>
  <c r="P58" i="291"/>
  <c r="AA57" i="291"/>
  <c r="Z57" i="291"/>
  <c r="Y57" i="291"/>
  <c r="X57" i="291"/>
  <c r="W57" i="291"/>
  <c r="T57" i="291"/>
  <c r="S57" i="291"/>
  <c r="R57" i="291"/>
  <c r="Q57" i="291"/>
  <c r="P57" i="291"/>
  <c r="AA56" i="291"/>
  <c r="Z56" i="291"/>
  <c r="Y56" i="291"/>
  <c r="X56" i="291"/>
  <c r="W56" i="291"/>
  <c r="T56" i="291"/>
  <c r="S56" i="291"/>
  <c r="R56" i="291"/>
  <c r="Q56" i="291"/>
  <c r="P56" i="291"/>
  <c r="AA55" i="291"/>
  <c r="Z55" i="291"/>
  <c r="Y55" i="291"/>
  <c r="X55" i="291"/>
  <c r="W55" i="291"/>
  <c r="T55" i="291"/>
  <c r="S55" i="291"/>
  <c r="R55" i="291"/>
  <c r="Q55" i="291"/>
  <c r="P55" i="291"/>
  <c r="AA54" i="291"/>
  <c r="Z54" i="291"/>
  <c r="Y54" i="291"/>
  <c r="X54" i="291"/>
  <c r="W54" i="291"/>
  <c r="T54" i="291"/>
  <c r="S54" i="291"/>
  <c r="R54" i="291"/>
  <c r="Q54" i="291"/>
  <c r="P54" i="291"/>
  <c r="AA53" i="291"/>
  <c r="Z53" i="291"/>
  <c r="Y53" i="291"/>
  <c r="X53" i="291"/>
  <c r="W53" i="291"/>
  <c r="T53" i="291"/>
  <c r="S53" i="291"/>
  <c r="R53" i="291"/>
  <c r="Q53" i="291"/>
  <c r="P53" i="291"/>
  <c r="AA52" i="291"/>
  <c r="Z52" i="291"/>
  <c r="Y52" i="291"/>
  <c r="X52" i="291"/>
  <c r="W52" i="291"/>
  <c r="T52" i="291"/>
  <c r="S52" i="291"/>
  <c r="R52" i="291"/>
  <c r="Q52" i="291"/>
  <c r="P52" i="291"/>
  <c r="AA51" i="291"/>
  <c r="Z51" i="291"/>
  <c r="Y51" i="291"/>
  <c r="X51" i="291"/>
  <c r="W51" i="291"/>
  <c r="T51" i="291"/>
  <c r="S51" i="291"/>
  <c r="R51" i="291"/>
  <c r="Q51" i="291"/>
  <c r="P51" i="291"/>
  <c r="AA50" i="291"/>
  <c r="Z50" i="291"/>
  <c r="Y50" i="291"/>
  <c r="X50" i="291"/>
  <c r="W50" i="291"/>
  <c r="T50" i="291"/>
  <c r="S50" i="291"/>
  <c r="R50" i="291"/>
  <c r="Q50" i="291"/>
  <c r="P50" i="291"/>
  <c r="T45" i="291"/>
  <c r="S45" i="291"/>
  <c r="R45" i="291"/>
  <c r="Q45" i="291"/>
  <c r="P45" i="291"/>
  <c r="M45" i="291"/>
  <c r="L45" i="291"/>
  <c r="K45" i="291"/>
  <c r="J45" i="291"/>
  <c r="I45" i="291"/>
  <c r="F45" i="291"/>
  <c r="E45" i="291"/>
  <c r="D45" i="291"/>
  <c r="C45" i="291"/>
  <c r="B45" i="291"/>
  <c r="T44" i="291"/>
  <c r="S44" i="291"/>
  <c r="R44" i="291"/>
  <c r="Q44" i="291"/>
  <c r="P44" i="291"/>
  <c r="M44" i="291"/>
  <c r="L44" i="291"/>
  <c r="K44" i="291"/>
  <c r="J44" i="291"/>
  <c r="I44" i="291"/>
  <c r="F44" i="291"/>
  <c r="E44" i="291"/>
  <c r="D44" i="291"/>
  <c r="C44" i="291"/>
  <c r="B44" i="291"/>
  <c r="T43" i="291"/>
  <c r="S43" i="291"/>
  <c r="R43" i="291"/>
  <c r="Q43" i="291"/>
  <c r="P43" i="291"/>
  <c r="M43" i="291"/>
  <c r="L43" i="291"/>
  <c r="K43" i="291"/>
  <c r="J43" i="291"/>
  <c r="I43" i="291"/>
  <c r="F43" i="291"/>
  <c r="E43" i="291"/>
  <c r="D43" i="291"/>
  <c r="C43" i="291"/>
  <c r="B43" i="291"/>
  <c r="T42" i="291"/>
  <c r="S42" i="291"/>
  <c r="R42" i="291"/>
  <c r="Q42" i="291"/>
  <c r="P42" i="291"/>
  <c r="M42" i="291"/>
  <c r="L42" i="291"/>
  <c r="K42" i="291"/>
  <c r="J42" i="291"/>
  <c r="I42" i="291"/>
  <c r="F42" i="291"/>
  <c r="E42" i="291"/>
  <c r="D42" i="291"/>
  <c r="C42" i="291"/>
  <c r="B42" i="291"/>
  <c r="T41" i="291"/>
  <c r="S41" i="291"/>
  <c r="R41" i="291"/>
  <c r="Q41" i="291"/>
  <c r="P41" i="291"/>
  <c r="M41" i="291"/>
  <c r="L41" i="291"/>
  <c r="K41" i="291"/>
  <c r="J41" i="291"/>
  <c r="I41" i="291"/>
  <c r="F41" i="291"/>
  <c r="E41" i="291"/>
  <c r="D41" i="291"/>
  <c r="C41" i="291"/>
  <c r="B41" i="291"/>
  <c r="T40" i="291"/>
  <c r="S40" i="291"/>
  <c r="R40" i="291"/>
  <c r="Q40" i="291"/>
  <c r="P40" i="291"/>
  <c r="M40" i="291"/>
  <c r="L40" i="291"/>
  <c r="K40" i="291"/>
  <c r="J40" i="291"/>
  <c r="I40" i="291"/>
  <c r="F40" i="291"/>
  <c r="E40" i="291"/>
  <c r="D40" i="291"/>
  <c r="C40" i="291"/>
  <c r="B40" i="291"/>
  <c r="T39" i="291"/>
  <c r="S39" i="291"/>
  <c r="R39" i="291"/>
  <c r="Q39" i="291"/>
  <c r="P39" i="291"/>
  <c r="M39" i="291"/>
  <c r="L39" i="291"/>
  <c r="K39" i="291"/>
  <c r="J39" i="291"/>
  <c r="I39" i="291"/>
  <c r="F39" i="291"/>
  <c r="E39" i="291"/>
  <c r="D39" i="291"/>
  <c r="C39" i="291"/>
  <c r="B39" i="291"/>
  <c r="T38" i="291"/>
  <c r="S38" i="291"/>
  <c r="R38" i="291"/>
  <c r="Q38" i="291"/>
  <c r="P38" i="291"/>
  <c r="M38" i="291"/>
  <c r="L38" i="291"/>
  <c r="K38" i="291"/>
  <c r="J38" i="291"/>
  <c r="I38" i="291"/>
  <c r="F38" i="291"/>
  <c r="E38" i="291"/>
  <c r="D38" i="291"/>
  <c r="C38" i="291"/>
  <c r="B38" i="291"/>
  <c r="T37" i="291"/>
  <c r="S37" i="291"/>
  <c r="R37" i="291"/>
  <c r="Q37" i="291"/>
  <c r="P37" i="291"/>
  <c r="M37" i="291"/>
  <c r="L37" i="291"/>
  <c r="K37" i="291"/>
  <c r="J37" i="291"/>
  <c r="I37" i="291"/>
  <c r="F37" i="291"/>
  <c r="E37" i="291"/>
  <c r="D37" i="291"/>
  <c r="C37" i="291"/>
  <c r="B37" i="291"/>
  <c r="T36" i="291"/>
  <c r="S36" i="291"/>
  <c r="R36" i="291"/>
  <c r="Q36" i="291"/>
  <c r="P36" i="291"/>
  <c r="M36" i="291"/>
  <c r="L36" i="291"/>
  <c r="K36" i="291"/>
  <c r="J36" i="291"/>
  <c r="I36" i="291"/>
  <c r="F36" i="291"/>
  <c r="E36" i="291"/>
  <c r="D36" i="291"/>
  <c r="C36" i="291"/>
  <c r="B36" i="291"/>
  <c r="T35" i="291"/>
  <c r="S35" i="291"/>
  <c r="R35" i="291"/>
  <c r="Q35" i="291"/>
  <c r="P35" i="291"/>
  <c r="M35" i="291"/>
  <c r="L35" i="291"/>
  <c r="K35" i="291"/>
  <c r="J35" i="291"/>
  <c r="I35" i="291"/>
  <c r="F35" i="291"/>
  <c r="E35" i="291"/>
  <c r="D35" i="291"/>
  <c r="C35" i="291"/>
  <c r="B35" i="291"/>
  <c r="T34" i="291"/>
  <c r="S34" i="291"/>
  <c r="R34" i="291"/>
  <c r="Q34" i="291"/>
  <c r="P34" i="291"/>
  <c r="M34" i="291"/>
  <c r="L34" i="291"/>
  <c r="K34" i="291"/>
  <c r="J34" i="291"/>
  <c r="I34" i="291"/>
  <c r="F34" i="291"/>
  <c r="E34" i="291"/>
  <c r="D34" i="291"/>
  <c r="C34" i="291"/>
  <c r="B34" i="291"/>
  <c r="T33" i="291"/>
  <c r="S33" i="291"/>
  <c r="R33" i="291"/>
  <c r="Q33" i="291"/>
  <c r="P33" i="291"/>
  <c r="M33" i="291"/>
  <c r="L33" i="291"/>
  <c r="K33" i="291"/>
  <c r="J33" i="291"/>
  <c r="I33" i="291"/>
  <c r="F33" i="291"/>
  <c r="E33" i="291"/>
  <c r="D33" i="291"/>
  <c r="C33" i="291"/>
  <c r="B33" i="291"/>
  <c r="T32" i="291"/>
  <c r="S32" i="291"/>
  <c r="R32" i="291"/>
  <c r="Q32" i="291"/>
  <c r="P32" i="291"/>
  <c r="M32" i="291"/>
  <c r="L32" i="291"/>
  <c r="K32" i="291"/>
  <c r="J32" i="291"/>
  <c r="I32" i="291"/>
  <c r="F32" i="291"/>
  <c r="E32" i="291"/>
  <c r="D32" i="291"/>
  <c r="C32" i="291"/>
  <c r="B32" i="291"/>
  <c r="T31" i="291"/>
  <c r="S31" i="291"/>
  <c r="R31" i="291"/>
  <c r="Q31" i="291"/>
  <c r="P31" i="291"/>
  <c r="M31" i="291"/>
  <c r="L31" i="291"/>
  <c r="K31" i="291"/>
  <c r="J31" i="291"/>
  <c r="I31" i="291"/>
  <c r="F31" i="291"/>
  <c r="E31" i="291"/>
  <c r="D31" i="291"/>
  <c r="C31" i="291"/>
  <c r="B31" i="291"/>
  <c r="T30" i="291"/>
  <c r="S30" i="291"/>
  <c r="R30" i="291"/>
  <c r="Q30" i="291"/>
  <c r="P30" i="291"/>
  <c r="M30" i="291"/>
  <c r="L30" i="291"/>
  <c r="K30" i="291"/>
  <c r="J30" i="291"/>
  <c r="I30" i="291"/>
  <c r="F30" i="291"/>
  <c r="E30" i="291"/>
  <c r="D30" i="291"/>
  <c r="C30" i="291"/>
  <c r="B30" i="291"/>
  <c r="T29" i="291"/>
  <c r="S29" i="291"/>
  <c r="R29" i="291"/>
  <c r="Q29" i="291"/>
  <c r="P29" i="291"/>
  <c r="M29" i="291"/>
  <c r="L29" i="291"/>
  <c r="K29" i="291"/>
  <c r="J29" i="291"/>
  <c r="I29" i="291"/>
  <c r="F29" i="291"/>
  <c r="E29" i="291"/>
  <c r="D29" i="291"/>
  <c r="C29" i="291"/>
  <c r="B29" i="291"/>
  <c r="T28" i="291"/>
  <c r="S28" i="291"/>
  <c r="R28" i="291"/>
  <c r="Q28" i="291"/>
  <c r="P28" i="291"/>
  <c r="M28" i="291"/>
  <c r="L28" i="291"/>
  <c r="K28" i="291"/>
  <c r="J28" i="291"/>
  <c r="I28" i="291"/>
  <c r="F28" i="291"/>
  <c r="E28" i="291"/>
  <c r="D28" i="291"/>
  <c r="C28" i="291"/>
  <c r="B28" i="291"/>
  <c r="T27" i="291"/>
  <c r="S27" i="291"/>
  <c r="R27" i="291"/>
  <c r="Q27" i="291"/>
  <c r="P27" i="291"/>
  <c r="M27" i="291"/>
  <c r="L27" i="291"/>
  <c r="K27" i="291"/>
  <c r="J27" i="291"/>
  <c r="I27" i="291"/>
  <c r="F27" i="291"/>
  <c r="E27" i="291"/>
  <c r="D27" i="291"/>
  <c r="C27" i="291"/>
  <c r="B27" i="291"/>
  <c r="XFD5" i="271" l="1"/>
  <c r="XEX5" i="271" s="1"/>
  <c r="XFB5" i="271"/>
  <c r="XFA5" i="271"/>
  <c r="XEZ5" i="271"/>
  <c r="XEW5" i="271"/>
  <c r="XEV5" i="271" s="1"/>
  <c r="XFA4" i="271"/>
  <c r="XEZ4" i="271"/>
  <c r="XEY4" i="271"/>
  <c r="XEX4" i="271"/>
  <c r="XEW4" i="271"/>
  <c r="XEV4" i="271" s="1"/>
  <c r="XFC5" i="271" l="1"/>
  <c r="XFC4" i="271"/>
  <c r="XFD4" i="271"/>
  <c r="XFB4" i="271"/>
  <c r="XFB1" i="271" s="1"/>
  <c r="AD24" i="290"/>
  <c r="AH2" i="272" l="1"/>
  <c r="O97" i="275"/>
  <c r="N97" i="275"/>
  <c r="M97" i="275"/>
  <c r="O96" i="275"/>
  <c r="N96" i="275"/>
  <c r="M96" i="275"/>
  <c r="O95" i="275"/>
  <c r="N95" i="275"/>
  <c r="M95" i="275"/>
  <c r="O94" i="275"/>
  <c r="N94" i="275"/>
  <c r="M94" i="275"/>
  <c r="O93" i="275"/>
  <c r="N93" i="275"/>
  <c r="M93" i="275"/>
  <c r="O92" i="275"/>
  <c r="N92" i="275"/>
  <c r="M92" i="275"/>
  <c r="O91" i="275"/>
  <c r="N91" i="275"/>
  <c r="M91" i="275"/>
  <c r="O90" i="275"/>
  <c r="N90" i="275"/>
  <c r="M90" i="275"/>
  <c r="O89" i="275"/>
  <c r="N89" i="275"/>
  <c r="M89" i="275"/>
  <c r="O88" i="275"/>
  <c r="N88" i="275"/>
  <c r="M88" i="275"/>
  <c r="O87" i="275"/>
  <c r="N87" i="275"/>
  <c r="M87" i="275"/>
  <c r="O86" i="275"/>
  <c r="N86" i="275"/>
  <c r="M86" i="275"/>
  <c r="O85" i="275"/>
  <c r="N85" i="275"/>
  <c r="M85" i="275"/>
  <c r="O84" i="275"/>
  <c r="N84" i="275"/>
  <c r="M84" i="275"/>
  <c r="O83" i="275"/>
  <c r="N83" i="275"/>
  <c r="M83" i="275"/>
  <c r="O82" i="275"/>
  <c r="N82" i="275"/>
  <c r="M82" i="275"/>
  <c r="O81" i="275"/>
  <c r="N81" i="275"/>
  <c r="M81" i="275"/>
  <c r="O80" i="275"/>
  <c r="N80" i="275"/>
  <c r="M80" i="275"/>
  <c r="O79" i="275"/>
  <c r="N79" i="275"/>
  <c r="M79" i="275"/>
  <c r="O78" i="275"/>
  <c r="N78" i="275"/>
  <c r="M78" i="275"/>
  <c r="O77" i="275"/>
  <c r="N77" i="275"/>
  <c r="M77" i="275"/>
  <c r="O76" i="275"/>
  <c r="N76" i="275"/>
  <c r="M76" i="275"/>
  <c r="O75" i="275"/>
  <c r="N75" i="275"/>
  <c r="M75" i="275"/>
  <c r="O74" i="275"/>
  <c r="N74" i="275"/>
  <c r="M74" i="275"/>
  <c r="O73" i="275"/>
  <c r="N73" i="275"/>
  <c r="M73" i="275"/>
  <c r="G73" i="275"/>
  <c r="F73" i="275"/>
  <c r="E73" i="275"/>
  <c r="O72" i="275"/>
  <c r="N72" i="275"/>
  <c r="M72" i="275"/>
  <c r="G72" i="275"/>
  <c r="F72" i="275"/>
  <c r="E72" i="275"/>
  <c r="O71" i="275"/>
  <c r="N71" i="275"/>
  <c r="M71" i="275"/>
  <c r="G71" i="275"/>
  <c r="F71" i="275"/>
  <c r="E71" i="275"/>
  <c r="O70" i="275"/>
  <c r="N70" i="275"/>
  <c r="M70" i="275"/>
  <c r="G70" i="275"/>
  <c r="F70" i="275"/>
  <c r="E70" i="275"/>
  <c r="O69" i="275"/>
  <c r="N69" i="275"/>
  <c r="M69" i="275"/>
  <c r="G69" i="275"/>
  <c r="F69" i="275"/>
  <c r="E69" i="275"/>
  <c r="O68" i="275"/>
  <c r="N68" i="275"/>
  <c r="M68" i="275"/>
  <c r="G68" i="275"/>
  <c r="F68" i="275"/>
  <c r="E68" i="275"/>
  <c r="O67" i="275"/>
  <c r="N67" i="275"/>
  <c r="M67" i="275"/>
  <c r="G67" i="275"/>
  <c r="F67" i="275"/>
  <c r="E67" i="275"/>
  <c r="O66" i="275"/>
  <c r="N66" i="275"/>
  <c r="M66" i="275"/>
  <c r="G66" i="275"/>
  <c r="F66" i="275"/>
  <c r="E66" i="275"/>
  <c r="O65" i="275"/>
  <c r="N65" i="275"/>
  <c r="M65" i="275"/>
  <c r="G65" i="275"/>
  <c r="F65" i="275"/>
  <c r="E65" i="275"/>
  <c r="O64" i="275"/>
  <c r="N64" i="275"/>
  <c r="M64" i="275"/>
  <c r="G64" i="275"/>
  <c r="F64" i="275"/>
  <c r="E64" i="275"/>
  <c r="O63" i="275"/>
  <c r="N63" i="275"/>
  <c r="M63" i="275"/>
  <c r="G63" i="275"/>
  <c r="F63" i="275"/>
  <c r="E63" i="275"/>
  <c r="O62" i="275"/>
  <c r="N62" i="275"/>
  <c r="M62" i="275"/>
  <c r="G62" i="275"/>
  <c r="F62" i="275"/>
  <c r="E62" i="275"/>
  <c r="O61" i="275"/>
  <c r="N61" i="275"/>
  <c r="M61" i="275"/>
  <c r="G61" i="275"/>
  <c r="F61" i="275"/>
  <c r="E61" i="275"/>
  <c r="O60" i="275"/>
  <c r="N60" i="275"/>
  <c r="M60" i="275"/>
  <c r="G60" i="275"/>
  <c r="F60" i="275"/>
  <c r="E60" i="275"/>
  <c r="O59" i="275"/>
  <c r="N59" i="275"/>
  <c r="M59" i="275"/>
  <c r="G59" i="275"/>
  <c r="F59" i="275"/>
  <c r="E59" i="275"/>
  <c r="O58" i="275"/>
  <c r="N58" i="275"/>
  <c r="M58" i="275"/>
  <c r="G58" i="275"/>
  <c r="F58" i="275"/>
  <c r="E58" i="275"/>
  <c r="O57" i="275"/>
  <c r="N57" i="275"/>
  <c r="M57" i="275"/>
  <c r="G57" i="275"/>
  <c r="F57" i="275"/>
  <c r="E57" i="275"/>
  <c r="O56" i="275"/>
  <c r="N56" i="275"/>
  <c r="M56" i="275"/>
  <c r="G56" i="275"/>
  <c r="F56" i="275"/>
  <c r="E56" i="275"/>
  <c r="O55" i="275"/>
  <c r="N55" i="275"/>
  <c r="M55" i="275"/>
  <c r="G55" i="275"/>
  <c r="F55" i="275"/>
  <c r="E55" i="275"/>
  <c r="O54" i="275"/>
  <c r="N54" i="275"/>
  <c r="M54" i="275"/>
  <c r="G54" i="275"/>
  <c r="F54" i="275"/>
  <c r="E54" i="275"/>
  <c r="O53" i="275"/>
  <c r="N53" i="275"/>
  <c r="M53" i="275"/>
  <c r="G53" i="275"/>
  <c r="F53" i="275"/>
  <c r="E53" i="275"/>
  <c r="O52" i="275"/>
  <c r="N52" i="275"/>
  <c r="M52" i="275"/>
  <c r="G52" i="275"/>
  <c r="F52" i="275"/>
  <c r="E52" i="275"/>
  <c r="O51" i="275"/>
  <c r="N51" i="275"/>
  <c r="M51" i="275"/>
  <c r="G51" i="275"/>
  <c r="F51" i="275"/>
  <c r="E51" i="275"/>
  <c r="O50" i="275"/>
  <c r="N50" i="275"/>
  <c r="M50" i="275"/>
  <c r="G50" i="275"/>
  <c r="F50" i="275"/>
  <c r="E50" i="275"/>
  <c r="O49" i="275"/>
  <c r="N49" i="275"/>
  <c r="M49" i="275"/>
  <c r="G49" i="275"/>
  <c r="F49" i="275"/>
  <c r="E49" i="275"/>
  <c r="O48" i="275"/>
  <c r="N48" i="275"/>
  <c r="M48" i="275"/>
  <c r="G48" i="275"/>
  <c r="F48" i="275"/>
  <c r="E48" i="275"/>
  <c r="O47" i="275"/>
  <c r="N47" i="275"/>
  <c r="M47" i="275"/>
  <c r="G47" i="275"/>
  <c r="F47" i="275"/>
  <c r="E47" i="275"/>
  <c r="O46" i="275"/>
  <c r="N46" i="275"/>
  <c r="M46" i="275"/>
  <c r="G46" i="275"/>
  <c r="F46" i="275"/>
  <c r="E46" i="275"/>
  <c r="O45" i="275"/>
  <c r="N45" i="275"/>
  <c r="M45" i="275"/>
  <c r="G45" i="275"/>
  <c r="F45" i="275"/>
  <c r="E45" i="275"/>
  <c r="W44" i="275"/>
  <c r="V44" i="275"/>
  <c r="U44" i="275"/>
  <c r="O44" i="275"/>
  <c r="N44" i="275"/>
  <c r="M44" i="275"/>
  <c r="G44" i="275"/>
  <c r="F44" i="275"/>
  <c r="E44" i="275"/>
  <c r="W43" i="275"/>
  <c r="V43" i="275"/>
  <c r="U43" i="275"/>
  <c r="O43" i="275"/>
  <c r="N43" i="275"/>
  <c r="M43" i="275"/>
  <c r="G43" i="275"/>
  <c r="F43" i="275"/>
  <c r="E43" i="275"/>
  <c r="W42" i="275"/>
  <c r="V42" i="275"/>
  <c r="U42" i="275"/>
  <c r="O42" i="275"/>
  <c r="N42" i="275"/>
  <c r="M42" i="275"/>
  <c r="G42" i="275"/>
  <c r="F42" i="275"/>
  <c r="E42" i="275"/>
  <c r="W41" i="275"/>
  <c r="V41" i="275"/>
  <c r="U41" i="275"/>
  <c r="O41" i="275"/>
  <c r="N41" i="275"/>
  <c r="M41" i="275"/>
  <c r="G41" i="275"/>
  <c r="F41" i="275"/>
  <c r="E41" i="275"/>
  <c r="W40" i="275"/>
  <c r="V40" i="275"/>
  <c r="U40" i="275"/>
  <c r="O40" i="275"/>
  <c r="N40" i="275"/>
  <c r="M40" i="275"/>
  <c r="G40" i="275"/>
  <c r="F40" i="275"/>
  <c r="E40" i="275"/>
  <c r="W39" i="275"/>
  <c r="V39" i="275"/>
  <c r="U39" i="275"/>
  <c r="O39" i="275"/>
  <c r="N39" i="275"/>
  <c r="M39" i="275"/>
  <c r="G39" i="275"/>
  <c r="F39" i="275"/>
  <c r="E39" i="275"/>
  <c r="W38" i="275"/>
  <c r="V38" i="275"/>
  <c r="U38" i="275"/>
  <c r="O38" i="275"/>
  <c r="N38" i="275"/>
  <c r="M38" i="275"/>
  <c r="G38" i="275"/>
  <c r="F38" i="275"/>
  <c r="E38" i="275"/>
  <c r="W37" i="275"/>
  <c r="V37" i="275"/>
  <c r="U37" i="275"/>
  <c r="O37" i="275"/>
  <c r="N37" i="275"/>
  <c r="M37" i="275"/>
  <c r="G37" i="275"/>
  <c r="F37" i="275"/>
  <c r="E37" i="275"/>
  <c r="W36" i="275"/>
  <c r="V36" i="275"/>
  <c r="U36" i="275"/>
  <c r="O36" i="275"/>
  <c r="N36" i="275"/>
  <c r="M36" i="275"/>
  <c r="G36" i="275"/>
  <c r="F36" i="275"/>
  <c r="E36" i="275"/>
  <c r="W35" i="275"/>
  <c r="V35" i="275"/>
  <c r="U35" i="275"/>
  <c r="O35" i="275"/>
  <c r="N35" i="275"/>
  <c r="M35" i="275"/>
  <c r="G35" i="275"/>
  <c r="F35" i="275"/>
  <c r="E35" i="275"/>
  <c r="W34" i="275"/>
  <c r="V34" i="275"/>
  <c r="U34" i="275"/>
  <c r="O34" i="275"/>
  <c r="N34" i="275"/>
  <c r="M34" i="275"/>
  <c r="G34" i="275"/>
  <c r="F34" i="275"/>
  <c r="E34" i="275"/>
  <c r="W33" i="275"/>
  <c r="V33" i="275"/>
  <c r="U33" i="275"/>
  <c r="O33" i="275"/>
  <c r="N33" i="275"/>
  <c r="M33" i="275"/>
  <c r="G33" i="275"/>
  <c r="F33" i="275"/>
  <c r="E33" i="275"/>
  <c r="W32" i="275"/>
  <c r="V32" i="275"/>
  <c r="U32" i="275"/>
  <c r="O32" i="275"/>
  <c r="N32" i="275"/>
  <c r="M32" i="275"/>
  <c r="G32" i="275"/>
  <c r="F32" i="275"/>
  <c r="E32" i="275"/>
  <c r="W31" i="275"/>
  <c r="V31" i="275"/>
  <c r="U31" i="275"/>
  <c r="O31" i="275"/>
  <c r="N31" i="275"/>
  <c r="M31" i="275"/>
  <c r="G31" i="275"/>
  <c r="F31" i="275"/>
  <c r="E31" i="275"/>
  <c r="W30" i="275"/>
  <c r="V30" i="275"/>
  <c r="U30" i="275"/>
  <c r="O30" i="275"/>
  <c r="N30" i="275"/>
  <c r="M30" i="275"/>
  <c r="G30" i="275"/>
  <c r="F30" i="275"/>
  <c r="E30" i="275"/>
  <c r="W29" i="275"/>
  <c r="V29" i="275"/>
  <c r="U29" i="275"/>
  <c r="O29" i="275"/>
  <c r="N29" i="275"/>
  <c r="M29" i="275"/>
  <c r="G29" i="275"/>
  <c r="F29" i="275"/>
  <c r="E29" i="275"/>
  <c r="W28" i="275"/>
  <c r="V28" i="275"/>
  <c r="U28" i="275"/>
  <c r="O28" i="275"/>
  <c r="N28" i="275"/>
  <c r="M28" i="275"/>
  <c r="G28" i="275"/>
  <c r="F28" i="275"/>
  <c r="E28" i="275"/>
  <c r="AE27" i="275"/>
  <c r="AD27" i="275"/>
  <c r="AC27" i="275"/>
  <c r="W27" i="275"/>
  <c r="V27" i="275"/>
  <c r="U27" i="275"/>
  <c r="O27" i="275"/>
  <c r="N27" i="275"/>
  <c r="M27" i="275"/>
  <c r="G27" i="275"/>
  <c r="F27" i="275"/>
  <c r="E27" i="275"/>
  <c r="AE26" i="275"/>
  <c r="AD26" i="275"/>
  <c r="AC26" i="275"/>
  <c r="W26" i="275"/>
  <c r="V26" i="275"/>
  <c r="U26" i="275"/>
  <c r="O26" i="275"/>
  <c r="N26" i="275"/>
  <c r="M26" i="275"/>
  <c r="G26" i="275"/>
  <c r="F26" i="275"/>
  <c r="E26" i="275"/>
  <c r="AE25" i="275"/>
  <c r="AD25" i="275"/>
  <c r="AC25" i="275"/>
  <c r="W25" i="275"/>
  <c r="V25" i="275"/>
  <c r="U25" i="275"/>
  <c r="O25" i="275"/>
  <c r="N25" i="275"/>
  <c r="M25" i="275"/>
  <c r="G25" i="275"/>
  <c r="F25" i="275"/>
  <c r="E25" i="275"/>
  <c r="AE24" i="275"/>
  <c r="AD24" i="275"/>
  <c r="AC24" i="275"/>
  <c r="W24" i="275"/>
  <c r="V24" i="275"/>
  <c r="U24" i="275"/>
  <c r="O24" i="275"/>
  <c r="N24" i="275"/>
  <c r="M24" i="275"/>
  <c r="G24" i="275"/>
  <c r="F24" i="275"/>
  <c r="E24" i="275"/>
  <c r="AE23" i="275"/>
  <c r="AD23" i="275"/>
  <c r="AC23" i="275"/>
  <c r="W23" i="275"/>
  <c r="V23" i="275"/>
  <c r="U23" i="275"/>
  <c r="O23" i="275"/>
  <c r="N23" i="275"/>
  <c r="M23" i="275"/>
  <c r="G23" i="275"/>
  <c r="F23" i="275"/>
  <c r="E23" i="275"/>
  <c r="AE22" i="275"/>
  <c r="AD22" i="275"/>
  <c r="AC22" i="275"/>
  <c r="W22" i="275"/>
  <c r="V22" i="275"/>
  <c r="U22" i="275"/>
  <c r="O22" i="275"/>
  <c r="N22" i="275"/>
  <c r="M22" i="275"/>
  <c r="G22" i="275"/>
  <c r="F22" i="275"/>
  <c r="E22" i="275"/>
  <c r="AE21" i="275"/>
  <c r="AD21" i="275"/>
  <c r="AC21" i="275"/>
  <c r="W21" i="275"/>
  <c r="V21" i="275"/>
  <c r="U21" i="275"/>
  <c r="O21" i="275"/>
  <c r="N21" i="275"/>
  <c r="M21" i="275"/>
  <c r="G21" i="275"/>
  <c r="F21" i="275"/>
  <c r="E21" i="275"/>
  <c r="AE20" i="275"/>
  <c r="AD20" i="275"/>
  <c r="AC20" i="275"/>
  <c r="W20" i="275"/>
  <c r="V20" i="275"/>
  <c r="U20" i="275"/>
  <c r="O20" i="275"/>
  <c r="N20" i="275"/>
  <c r="M20" i="275"/>
  <c r="G20" i="275"/>
  <c r="F20" i="275"/>
  <c r="E20" i="275"/>
  <c r="AE19" i="275"/>
  <c r="AD19" i="275"/>
  <c r="AC19" i="275"/>
  <c r="W19" i="275"/>
  <c r="V19" i="275"/>
  <c r="U19" i="275"/>
  <c r="O19" i="275"/>
  <c r="N19" i="275"/>
  <c r="M19" i="275"/>
  <c r="G19" i="275"/>
  <c r="F19" i="275"/>
  <c r="E19" i="275"/>
  <c r="AE18" i="275"/>
  <c r="AD18" i="275"/>
  <c r="AC18" i="275"/>
  <c r="W18" i="275"/>
  <c r="V18" i="275"/>
  <c r="U18" i="275"/>
  <c r="O18" i="275"/>
  <c r="N18" i="275"/>
  <c r="M18" i="275"/>
  <c r="G18" i="275"/>
  <c r="F18" i="275"/>
  <c r="E18" i="275"/>
  <c r="AE17" i="275"/>
  <c r="AD17" i="275"/>
  <c r="AC17" i="275"/>
  <c r="W17" i="275"/>
  <c r="V17" i="275"/>
  <c r="U17" i="275"/>
  <c r="O17" i="275"/>
  <c r="N17" i="275"/>
  <c r="M17" i="275"/>
  <c r="G17" i="275"/>
  <c r="F17" i="275"/>
  <c r="E17" i="275"/>
  <c r="AE16" i="275"/>
  <c r="AD16" i="275"/>
  <c r="AC16" i="275"/>
  <c r="W16" i="275"/>
  <c r="V16" i="275"/>
  <c r="U16" i="275"/>
  <c r="O16" i="275"/>
  <c r="N16" i="275"/>
  <c r="M16" i="275"/>
  <c r="G16" i="275"/>
  <c r="F16" i="275"/>
  <c r="E16" i="275"/>
  <c r="AE15" i="275"/>
  <c r="AD15" i="275"/>
  <c r="AC15" i="275"/>
  <c r="W15" i="275"/>
  <c r="V15" i="275"/>
  <c r="U15" i="275"/>
  <c r="O15" i="275"/>
  <c r="N15" i="275"/>
  <c r="M15" i="275"/>
  <c r="G15" i="275"/>
  <c r="F15" i="275"/>
  <c r="E15" i="275"/>
  <c r="AE14" i="275"/>
  <c r="AD14" i="275"/>
  <c r="AC14" i="275"/>
  <c r="W14" i="275"/>
  <c r="V14" i="275"/>
  <c r="U14" i="275"/>
  <c r="O14" i="275"/>
  <c r="N14" i="275"/>
  <c r="M14" i="275"/>
  <c r="G14" i="275"/>
  <c r="F14" i="275"/>
  <c r="E14" i="275"/>
  <c r="AE13" i="275"/>
  <c r="AD13" i="275"/>
  <c r="AC13" i="275"/>
  <c r="W13" i="275"/>
  <c r="V13" i="275"/>
  <c r="U13" i="275"/>
  <c r="O13" i="275"/>
  <c r="N13" i="275"/>
  <c r="M13" i="275"/>
  <c r="G13" i="275"/>
  <c r="F13" i="275"/>
  <c r="E13" i="275"/>
  <c r="AE12" i="275"/>
  <c r="AD12" i="275"/>
  <c r="AC12" i="275"/>
  <c r="W12" i="275"/>
  <c r="V12" i="275"/>
  <c r="U12" i="275"/>
  <c r="O12" i="275"/>
  <c r="N12" i="275"/>
  <c r="M12" i="275"/>
  <c r="G12" i="275"/>
  <c r="F12" i="275"/>
  <c r="E12" i="275"/>
  <c r="AE11" i="275"/>
  <c r="AD11" i="275"/>
  <c r="AC11" i="275"/>
  <c r="W11" i="275"/>
  <c r="V11" i="275"/>
  <c r="U11" i="275"/>
  <c r="O11" i="275"/>
  <c r="N11" i="275"/>
  <c r="M11" i="275"/>
  <c r="G11" i="275"/>
  <c r="F11" i="275"/>
  <c r="E11" i="275"/>
  <c r="AE10" i="275"/>
  <c r="AD10" i="275"/>
  <c r="AC10" i="275"/>
  <c r="W10" i="275"/>
  <c r="V10" i="275"/>
  <c r="U10" i="275"/>
  <c r="O10" i="275"/>
  <c r="N10" i="275"/>
  <c r="M10" i="275"/>
  <c r="G10" i="275"/>
  <c r="F10" i="275"/>
  <c r="E10" i="275"/>
  <c r="AE9" i="275"/>
  <c r="AD9" i="275"/>
  <c r="AC9" i="275"/>
  <c r="W9" i="275"/>
  <c r="V9" i="275"/>
  <c r="U9" i="275"/>
  <c r="O9" i="275"/>
  <c r="N9" i="275"/>
  <c r="M9" i="275"/>
  <c r="G9" i="275"/>
  <c r="F9" i="275"/>
  <c r="E9" i="275"/>
  <c r="AE8" i="275"/>
  <c r="AD8" i="275"/>
  <c r="AC8" i="275"/>
  <c r="W8" i="275"/>
  <c r="V8" i="275"/>
  <c r="U8" i="275"/>
  <c r="O8" i="275"/>
  <c r="N8" i="275"/>
  <c r="M8" i="275"/>
  <c r="G8" i="275"/>
  <c r="F8" i="275"/>
  <c r="E8" i="275"/>
  <c r="AE7" i="275"/>
  <c r="AD7" i="275"/>
  <c r="AC7" i="275"/>
  <c r="W7" i="275"/>
  <c r="V7" i="275"/>
  <c r="U7" i="275"/>
  <c r="O7" i="275"/>
  <c r="N7" i="275"/>
  <c r="M7" i="275"/>
  <c r="G7" i="275"/>
  <c r="F7" i="275"/>
  <c r="E7" i="275"/>
  <c r="AE6" i="275"/>
  <c r="AD6" i="275"/>
  <c r="AC6" i="275"/>
  <c r="W6" i="275"/>
  <c r="V6" i="275"/>
  <c r="U6" i="275"/>
  <c r="O6" i="275"/>
  <c r="N6" i="275"/>
  <c r="M6" i="275"/>
  <c r="G6" i="275"/>
  <c r="F6" i="275"/>
  <c r="E6" i="275"/>
  <c r="AE5" i="275"/>
  <c r="AD5" i="275"/>
  <c r="AC5" i="275"/>
  <c r="W5" i="275"/>
  <c r="V5" i="275"/>
  <c r="U5" i="275"/>
  <c r="O5" i="275"/>
  <c r="N5" i="275"/>
  <c r="M5" i="275"/>
  <c r="G5" i="275"/>
  <c r="F5" i="275"/>
  <c r="E5" i="275"/>
  <c r="AE4" i="275"/>
  <c r="AD4" i="275"/>
  <c r="AC4" i="275"/>
  <c r="W4" i="275"/>
  <c r="V4" i="275"/>
  <c r="U4" i="275"/>
  <c r="O4" i="275"/>
  <c r="N4" i="275"/>
  <c r="M4" i="275"/>
  <c r="G4" i="275"/>
  <c r="F4" i="275"/>
  <c r="E4" i="275"/>
  <c r="Z313" i="289"/>
  <c r="Y313" i="289"/>
  <c r="X313" i="289"/>
  <c r="W313" i="289"/>
  <c r="V313" i="289"/>
  <c r="U313" i="289"/>
  <c r="T313" i="289"/>
  <c r="S313" i="289"/>
  <c r="R313" i="289"/>
  <c r="Q313" i="289"/>
  <c r="P313" i="289"/>
  <c r="O313" i="289"/>
  <c r="N313" i="289"/>
  <c r="M313" i="289"/>
  <c r="L313" i="289"/>
  <c r="K313" i="289"/>
  <c r="J313" i="289"/>
  <c r="I313" i="289"/>
  <c r="H313" i="289"/>
  <c r="G313" i="289"/>
  <c r="F313" i="289"/>
  <c r="E313" i="289"/>
  <c r="D313" i="289"/>
  <c r="Z312" i="289"/>
  <c r="Y312" i="289"/>
  <c r="X312" i="289"/>
  <c r="W312" i="289"/>
  <c r="V312" i="289"/>
  <c r="U312" i="289"/>
  <c r="T312" i="289"/>
  <c r="S312" i="289"/>
  <c r="R312" i="289"/>
  <c r="Q312" i="289"/>
  <c r="P312" i="289"/>
  <c r="O312" i="289"/>
  <c r="N312" i="289"/>
  <c r="M312" i="289"/>
  <c r="L312" i="289"/>
  <c r="K312" i="289"/>
  <c r="J312" i="289"/>
  <c r="I312" i="289"/>
  <c r="H312" i="289"/>
  <c r="G312" i="289"/>
  <c r="F312" i="289"/>
  <c r="E312" i="289"/>
  <c r="D312" i="289"/>
  <c r="Z311" i="289"/>
  <c r="Y311" i="289"/>
  <c r="X311" i="289"/>
  <c r="W311" i="289"/>
  <c r="V311" i="289"/>
  <c r="U311" i="289"/>
  <c r="T311" i="289"/>
  <c r="S311" i="289"/>
  <c r="R311" i="289"/>
  <c r="Q311" i="289"/>
  <c r="P311" i="289"/>
  <c r="O311" i="289"/>
  <c r="N311" i="289"/>
  <c r="M311" i="289"/>
  <c r="L311" i="289"/>
  <c r="K311" i="289"/>
  <c r="J311" i="289"/>
  <c r="I311" i="289"/>
  <c r="H311" i="289"/>
  <c r="G311" i="289"/>
  <c r="F311" i="289"/>
  <c r="E311" i="289"/>
  <c r="D311" i="289"/>
  <c r="Z310" i="289"/>
  <c r="Y310" i="289"/>
  <c r="X310" i="289"/>
  <c r="W310" i="289"/>
  <c r="V310" i="289"/>
  <c r="U310" i="289"/>
  <c r="T310" i="289"/>
  <c r="S310" i="289"/>
  <c r="R310" i="289"/>
  <c r="Q310" i="289"/>
  <c r="P310" i="289"/>
  <c r="O310" i="289"/>
  <c r="N310" i="289"/>
  <c r="M310" i="289"/>
  <c r="L310" i="289"/>
  <c r="K310" i="289"/>
  <c r="J310" i="289"/>
  <c r="I310" i="289"/>
  <c r="H310" i="289"/>
  <c r="G310" i="289"/>
  <c r="F310" i="289"/>
  <c r="E310" i="289"/>
  <c r="D310" i="289"/>
  <c r="Z309" i="289"/>
  <c r="Y309" i="289"/>
  <c r="X309" i="289"/>
  <c r="W309" i="289"/>
  <c r="V309" i="289"/>
  <c r="U309" i="289"/>
  <c r="T309" i="289"/>
  <c r="S309" i="289"/>
  <c r="R309" i="289"/>
  <c r="Q309" i="289"/>
  <c r="P309" i="289"/>
  <c r="O309" i="289"/>
  <c r="N309" i="289"/>
  <c r="M309" i="289"/>
  <c r="L309" i="289"/>
  <c r="K309" i="289"/>
  <c r="J309" i="289"/>
  <c r="I309" i="289"/>
  <c r="H309" i="289"/>
  <c r="G309" i="289"/>
  <c r="F309" i="289"/>
  <c r="E309" i="289"/>
  <c r="D309" i="289"/>
  <c r="Z308" i="289"/>
  <c r="Y308" i="289"/>
  <c r="X308" i="289"/>
  <c r="W308" i="289"/>
  <c r="V308" i="289"/>
  <c r="U308" i="289"/>
  <c r="T308" i="289"/>
  <c r="S308" i="289"/>
  <c r="R308" i="289"/>
  <c r="Q308" i="289"/>
  <c r="P308" i="289"/>
  <c r="O308" i="289"/>
  <c r="N308" i="289"/>
  <c r="M308" i="289"/>
  <c r="L308" i="289"/>
  <c r="K308" i="289"/>
  <c r="J308" i="289"/>
  <c r="I308" i="289"/>
  <c r="H308" i="289"/>
  <c r="G308" i="289"/>
  <c r="F308" i="289"/>
  <c r="E308" i="289"/>
  <c r="D308" i="289"/>
  <c r="Z307" i="289"/>
  <c r="Y307" i="289"/>
  <c r="X307" i="289"/>
  <c r="W307" i="289"/>
  <c r="V307" i="289"/>
  <c r="U307" i="289"/>
  <c r="T307" i="289"/>
  <c r="S307" i="289"/>
  <c r="R307" i="289"/>
  <c r="Q307" i="289"/>
  <c r="P307" i="289"/>
  <c r="O307" i="289"/>
  <c r="N307" i="289"/>
  <c r="M307" i="289"/>
  <c r="L307" i="289"/>
  <c r="K307" i="289"/>
  <c r="J307" i="289"/>
  <c r="I307" i="289"/>
  <c r="H307" i="289"/>
  <c r="G307" i="289"/>
  <c r="F307" i="289"/>
  <c r="E307" i="289"/>
  <c r="D307" i="289"/>
  <c r="Z306" i="289"/>
  <c r="Y306" i="289"/>
  <c r="X306" i="289"/>
  <c r="W306" i="289"/>
  <c r="V306" i="289"/>
  <c r="U306" i="289"/>
  <c r="T306" i="289"/>
  <c r="S306" i="289"/>
  <c r="R306" i="289"/>
  <c r="Q306" i="289"/>
  <c r="P306" i="289"/>
  <c r="O306" i="289"/>
  <c r="N306" i="289"/>
  <c r="M306" i="289"/>
  <c r="L306" i="289"/>
  <c r="K306" i="289"/>
  <c r="J306" i="289"/>
  <c r="I306" i="289"/>
  <c r="H306" i="289"/>
  <c r="G306" i="289"/>
  <c r="F306" i="289"/>
  <c r="E306" i="289"/>
  <c r="D306" i="289"/>
  <c r="Z305" i="289"/>
  <c r="Y305" i="289"/>
  <c r="X305" i="289"/>
  <c r="W305" i="289"/>
  <c r="V305" i="289"/>
  <c r="U305" i="289"/>
  <c r="T305" i="289"/>
  <c r="S305" i="289"/>
  <c r="R305" i="289"/>
  <c r="Q305" i="289"/>
  <c r="P305" i="289"/>
  <c r="O305" i="289"/>
  <c r="N305" i="289"/>
  <c r="M305" i="289"/>
  <c r="L305" i="289"/>
  <c r="K305" i="289"/>
  <c r="J305" i="289"/>
  <c r="I305" i="289"/>
  <c r="H305" i="289"/>
  <c r="G305" i="289"/>
  <c r="F305" i="289"/>
  <c r="E305" i="289"/>
  <c r="D305" i="289"/>
  <c r="Z304" i="289"/>
  <c r="Y304" i="289"/>
  <c r="X304" i="289"/>
  <c r="W304" i="289"/>
  <c r="V304" i="289"/>
  <c r="U304" i="289"/>
  <c r="T304" i="289"/>
  <c r="S304" i="289"/>
  <c r="R304" i="289"/>
  <c r="Q304" i="289"/>
  <c r="P304" i="289"/>
  <c r="O304" i="289"/>
  <c r="N304" i="289"/>
  <c r="M304" i="289"/>
  <c r="L304" i="289"/>
  <c r="K304" i="289"/>
  <c r="J304" i="289"/>
  <c r="I304" i="289"/>
  <c r="H304" i="289"/>
  <c r="G304" i="289"/>
  <c r="F304" i="289"/>
  <c r="E304" i="289"/>
  <c r="D304" i="289"/>
  <c r="Z303" i="289"/>
  <c r="Y303" i="289"/>
  <c r="X303" i="289"/>
  <c r="W303" i="289"/>
  <c r="V303" i="289"/>
  <c r="U303" i="289"/>
  <c r="T303" i="289"/>
  <c r="S303" i="289"/>
  <c r="R303" i="289"/>
  <c r="Q303" i="289"/>
  <c r="P303" i="289"/>
  <c r="O303" i="289"/>
  <c r="N303" i="289"/>
  <c r="M303" i="289"/>
  <c r="L303" i="289"/>
  <c r="K303" i="289"/>
  <c r="J303" i="289"/>
  <c r="I303" i="289"/>
  <c r="H303" i="289"/>
  <c r="G303" i="289"/>
  <c r="F303" i="289"/>
  <c r="E303" i="289"/>
  <c r="D303" i="289"/>
  <c r="Z302" i="289"/>
  <c r="Y302" i="289"/>
  <c r="X302" i="289"/>
  <c r="W302" i="289"/>
  <c r="V302" i="289"/>
  <c r="U302" i="289"/>
  <c r="T302" i="289"/>
  <c r="S302" i="289"/>
  <c r="R302" i="289"/>
  <c r="Q302" i="289"/>
  <c r="P302" i="289"/>
  <c r="O302" i="289"/>
  <c r="N302" i="289"/>
  <c r="M302" i="289"/>
  <c r="L302" i="289"/>
  <c r="K302" i="289"/>
  <c r="J302" i="289"/>
  <c r="I302" i="289"/>
  <c r="H302" i="289"/>
  <c r="G302" i="289"/>
  <c r="F302" i="289"/>
  <c r="E302" i="289"/>
  <c r="D302" i="289"/>
  <c r="Z301" i="289"/>
  <c r="Y301" i="289"/>
  <c r="X301" i="289"/>
  <c r="W301" i="289"/>
  <c r="V301" i="289"/>
  <c r="U301" i="289"/>
  <c r="T301" i="289"/>
  <c r="S301" i="289"/>
  <c r="R301" i="289"/>
  <c r="Q301" i="289"/>
  <c r="P301" i="289"/>
  <c r="O301" i="289"/>
  <c r="N301" i="289"/>
  <c r="M301" i="289"/>
  <c r="L301" i="289"/>
  <c r="K301" i="289"/>
  <c r="J301" i="289"/>
  <c r="I301" i="289"/>
  <c r="H301" i="289"/>
  <c r="G301" i="289"/>
  <c r="F301" i="289"/>
  <c r="E301" i="289"/>
  <c r="D301" i="289"/>
  <c r="Z300" i="289"/>
  <c r="Y300" i="289"/>
  <c r="X300" i="289"/>
  <c r="W300" i="289"/>
  <c r="V300" i="289"/>
  <c r="U300" i="289"/>
  <c r="T300" i="289"/>
  <c r="S300" i="289"/>
  <c r="R300" i="289"/>
  <c r="Q300" i="289"/>
  <c r="P300" i="289"/>
  <c r="O300" i="289"/>
  <c r="N300" i="289"/>
  <c r="M300" i="289"/>
  <c r="L300" i="289"/>
  <c r="K300" i="289"/>
  <c r="J300" i="289"/>
  <c r="I300" i="289"/>
  <c r="H300" i="289"/>
  <c r="G300" i="289"/>
  <c r="F300" i="289"/>
  <c r="E300" i="289"/>
  <c r="D300" i="289"/>
  <c r="Z299" i="289"/>
  <c r="Y299" i="289"/>
  <c r="X299" i="289"/>
  <c r="W299" i="289"/>
  <c r="V299" i="289"/>
  <c r="U299" i="289"/>
  <c r="T299" i="289"/>
  <c r="S299" i="289"/>
  <c r="R299" i="289"/>
  <c r="Q299" i="289"/>
  <c r="P299" i="289"/>
  <c r="O299" i="289"/>
  <c r="N299" i="289"/>
  <c r="M299" i="289"/>
  <c r="L299" i="289"/>
  <c r="K299" i="289"/>
  <c r="J299" i="289"/>
  <c r="I299" i="289"/>
  <c r="H299" i="289"/>
  <c r="G299" i="289"/>
  <c r="F299" i="289"/>
  <c r="E299" i="289"/>
  <c r="D299" i="289"/>
  <c r="Z298" i="289"/>
  <c r="Y298" i="289"/>
  <c r="X298" i="289"/>
  <c r="W298" i="289"/>
  <c r="V298" i="289"/>
  <c r="U298" i="289"/>
  <c r="T298" i="289"/>
  <c r="S298" i="289"/>
  <c r="R298" i="289"/>
  <c r="Q298" i="289"/>
  <c r="P298" i="289"/>
  <c r="O298" i="289"/>
  <c r="N298" i="289"/>
  <c r="M298" i="289"/>
  <c r="L298" i="289"/>
  <c r="K298" i="289"/>
  <c r="J298" i="289"/>
  <c r="I298" i="289"/>
  <c r="H298" i="289"/>
  <c r="G298" i="289"/>
  <c r="F298" i="289"/>
  <c r="E298" i="289"/>
  <c r="D298" i="289"/>
  <c r="Z297" i="289"/>
  <c r="Y297" i="289"/>
  <c r="X297" i="289"/>
  <c r="W297" i="289"/>
  <c r="V297" i="289"/>
  <c r="U297" i="289"/>
  <c r="T297" i="289"/>
  <c r="S297" i="289"/>
  <c r="R297" i="289"/>
  <c r="Q297" i="289"/>
  <c r="P297" i="289"/>
  <c r="O297" i="289"/>
  <c r="N297" i="289"/>
  <c r="M297" i="289"/>
  <c r="L297" i="289"/>
  <c r="K297" i="289"/>
  <c r="J297" i="289"/>
  <c r="I297" i="289"/>
  <c r="H297" i="289"/>
  <c r="G297" i="289"/>
  <c r="F297" i="289"/>
  <c r="E297" i="289"/>
  <c r="D297" i="289"/>
  <c r="Z296" i="289"/>
  <c r="Y296" i="289"/>
  <c r="X296" i="289"/>
  <c r="W296" i="289"/>
  <c r="V296" i="289"/>
  <c r="U296" i="289"/>
  <c r="T296" i="289"/>
  <c r="S296" i="289"/>
  <c r="R296" i="289"/>
  <c r="Q296" i="289"/>
  <c r="P296" i="289"/>
  <c r="O296" i="289"/>
  <c r="N296" i="289"/>
  <c r="M296" i="289"/>
  <c r="L296" i="289"/>
  <c r="K296" i="289"/>
  <c r="J296" i="289"/>
  <c r="I296" i="289"/>
  <c r="H296" i="289"/>
  <c r="G296" i="289"/>
  <c r="F296" i="289"/>
  <c r="E296" i="289"/>
  <c r="D296" i="289"/>
  <c r="Z295" i="289"/>
  <c r="Y295" i="289"/>
  <c r="X295" i="289"/>
  <c r="W295" i="289"/>
  <c r="V295" i="289"/>
  <c r="U295" i="289"/>
  <c r="T295" i="289"/>
  <c r="S295" i="289"/>
  <c r="R295" i="289"/>
  <c r="Q295" i="289"/>
  <c r="P295" i="289"/>
  <c r="O295" i="289"/>
  <c r="N295" i="289"/>
  <c r="M295" i="289"/>
  <c r="L295" i="289"/>
  <c r="K295" i="289"/>
  <c r="J295" i="289"/>
  <c r="I295" i="289"/>
  <c r="H295" i="289"/>
  <c r="G295" i="289"/>
  <c r="F295" i="289"/>
  <c r="E295" i="289"/>
  <c r="D295" i="289"/>
  <c r="Z294" i="289"/>
  <c r="Y294" i="289"/>
  <c r="X294" i="289"/>
  <c r="W294" i="289"/>
  <c r="V294" i="289"/>
  <c r="U294" i="289"/>
  <c r="T294" i="289"/>
  <c r="S294" i="289"/>
  <c r="R294" i="289"/>
  <c r="Q294" i="289"/>
  <c r="P294" i="289"/>
  <c r="O294" i="289"/>
  <c r="N294" i="289"/>
  <c r="M294" i="289"/>
  <c r="L294" i="289"/>
  <c r="K294" i="289"/>
  <c r="J294" i="289"/>
  <c r="I294" i="289"/>
  <c r="H294" i="289"/>
  <c r="G294" i="289"/>
  <c r="F294" i="289"/>
  <c r="E294" i="289"/>
  <c r="D294" i="289"/>
  <c r="Z293" i="289"/>
  <c r="Y293" i="289"/>
  <c r="X293" i="289"/>
  <c r="W293" i="289"/>
  <c r="V293" i="289"/>
  <c r="U293" i="289"/>
  <c r="T293" i="289"/>
  <c r="S293" i="289"/>
  <c r="R293" i="289"/>
  <c r="Q293" i="289"/>
  <c r="P293" i="289"/>
  <c r="O293" i="289"/>
  <c r="N293" i="289"/>
  <c r="M293" i="289"/>
  <c r="L293" i="289"/>
  <c r="K293" i="289"/>
  <c r="J293" i="289"/>
  <c r="I293" i="289"/>
  <c r="H293" i="289"/>
  <c r="G293" i="289"/>
  <c r="F293" i="289"/>
  <c r="E293" i="289"/>
  <c r="D293" i="289"/>
  <c r="Z292" i="289"/>
  <c r="Y292" i="289"/>
  <c r="X292" i="289"/>
  <c r="W292" i="289"/>
  <c r="V292" i="289"/>
  <c r="U292" i="289"/>
  <c r="T292" i="289"/>
  <c r="S292" i="289"/>
  <c r="R292" i="289"/>
  <c r="Q292" i="289"/>
  <c r="P292" i="289"/>
  <c r="O292" i="289"/>
  <c r="N292" i="289"/>
  <c r="M292" i="289"/>
  <c r="L292" i="289"/>
  <c r="K292" i="289"/>
  <c r="J292" i="289"/>
  <c r="I292" i="289"/>
  <c r="H292" i="289"/>
  <c r="G292" i="289"/>
  <c r="F292" i="289"/>
  <c r="E292" i="289"/>
  <c r="D292" i="289"/>
  <c r="Z291" i="289"/>
  <c r="Y291" i="289"/>
  <c r="X291" i="289"/>
  <c r="W291" i="289"/>
  <c r="V291" i="289"/>
  <c r="U291" i="289"/>
  <c r="T291" i="289"/>
  <c r="S291" i="289"/>
  <c r="R291" i="289"/>
  <c r="Q291" i="289"/>
  <c r="P291" i="289"/>
  <c r="O291" i="289"/>
  <c r="N291" i="289"/>
  <c r="M291" i="289"/>
  <c r="L291" i="289"/>
  <c r="K291" i="289"/>
  <c r="J291" i="289"/>
  <c r="I291" i="289"/>
  <c r="H291" i="289"/>
  <c r="G291" i="289"/>
  <c r="F291" i="289"/>
  <c r="E291" i="289"/>
  <c r="D291" i="289"/>
  <c r="Z290" i="289"/>
  <c r="Y290" i="289"/>
  <c r="X290" i="289"/>
  <c r="W290" i="289"/>
  <c r="V290" i="289"/>
  <c r="U290" i="289"/>
  <c r="T290" i="289"/>
  <c r="S290" i="289"/>
  <c r="R290" i="289"/>
  <c r="Q290" i="289"/>
  <c r="P290" i="289"/>
  <c r="O290" i="289"/>
  <c r="N290" i="289"/>
  <c r="M290" i="289"/>
  <c r="L290" i="289"/>
  <c r="K290" i="289"/>
  <c r="J290" i="289"/>
  <c r="I290" i="289"/>
  <c r="H290" i="289"/>
  <c r="G290" i="289"/>
  <c r="F290" i="289"/>
  <c r="E290" i="289"/>
  <c r="D290" i="289"/>
  <c r="Z289" i="289"/>
  <c r="Y289" i="289"/>
  <c r="X289" i="289"/>
  <c r="W289" i="289"/>
  <c r="V289" i="289"/>
  <c r="U289" i="289"/>
  <c r="T289" i="289"/>
  <c r="S289" i="289"/>
  <c r="R289" i="289"/>
  <c r="Q289" i="289"/>
  <c r="P289" i="289"/>
  <c r="O289" i="289"/>
  <c r="N289" i="289"/>
  <c r="M289" i="289"/>
  <c r="L289" i="289"/>
  <c r="K289" i="289"/>
  <c r="J289" i="289"/>
  <c r="I289" i="289"/>
  <c r="H289" i="289"/>
  <c r="G289" i="289"/>
  <c r="F289" i="289"/>
  <c r="E289" i="289"/>
  <c r="D289" i="289"/>
  <c r="Z288" i="289"/>
  <c r="Y288" i="289"/>
  <c r="X288" i="289"/>
  <c r="W288" i="289"/>
  <c r="V288" i="289"/>
  <c r="U288" i="289"/>
  <c r="T288" i="289"/>
  <c r="S288" i="289"/>
  <c r="R288" i="289"/>
  <c r="Q288" i="289"/>
  <c r="P288" i="289"/>
  <c r="O288" i="289"/>
  <c r="N288" i="289"/>
  <c r="M288" i="289"/>
  <c r="L288" i="289"/>
  <c r="K288" i="289"/>
  <c r="J288" i="289"/>
  <c r="I288" i="289"/>
  <c r="H288" i="289"/>
  <c r="G288" i="289"/>
  <c r="F288" i="289"/>
  <c r="E288" i="289"/>
  <c r="D288" i="289"/>
  <c r="Z287" i="289"/>
  <c r="Y287" i="289"/>
  <c r="X287" i="289"/>
  <c r="W287" i="289"/>
  <c r="V287" i="289"/>
  <c r="U287" i="289"/>
  <c r="T287" i="289"/>
  <c r="S287" i="289"/>
  <c r="R287" i="289"/>
  <c r="Q287" i="289"/>
  <c r="P287" i="289"/>
  <c r="O287" i="289"/>
  <c r="N287" i="289"/>
  <c r="M287" i="289"/>
  <c r="L287" i="289"/>
  <c r="K287" i="289"/>
  <c r="J287" i="289"/>
  <c r="I287" i="289"/>
  <c r="H287" i="289"/>
  <c r="G287" i="289"/>
  <c r="F287" i="289"/>
  <c r="E287" i="289"/>
  <c r="D287" i="289"/>
  <c r="Z286" i="289"/>
  <c r="Y286" i="289"/>
  <c r="X286" i="289"/>
  <c r="W286" i="289"/>
  <c r="V286" i="289"/>
  <c r="U286" i="289"/>
  <c r="T286" i="289"/>
  <c r="S286" i="289"/>
  <c r="R286" i="289"/>
  <c r="Q286" i="289"/>
  <c r="P286" i="289"/>
  <c r="O286" i="289"/>
  <c r="N286" i="289"/>
  <c r="M286" i="289"/>
  <c r="L286" i="289"/>
  <c r="K286" i="289"/>
  <c r="J286" i="289"/>
  <c r="I286" i="289"/>
  <c r="H286" i="289"/>
  <c r="G286" i="289"/>
  <c r="F286" i="289"/>
  <c r="E286" i="289"/>
  <c r="D286" i="289"/>
  <c r="Z285" i="289"/>
  <c r="Y285" i="289"/>
  <c r="X285" i="289"/>
  <c r="W285" i="289"/>
  <c r="V285" i="289"/>
  <c r="U285" i="289"/>
  <c r="T285" i="289"/>
  <c r="S285" i="289"/>
  <c r="R285" i="289"/>
  <c r="Q285" i="289"/>
  <c r="P285" i="289"/>
  <c r="O285" i="289"/>
  <c r="N285" i="289"/>
  <c r="M285" i="289"/>
  <c r="L285" i="289"/>
  <c r="K285" i="289"/>
  <c r="J285" i="289"/>
  <c r="I285" i="289"/>
  <c r="H285" i="289"/>
  <c r="G285" i="289"/>
  <c r="F285" i="289"/>
  <c r="E285" i="289"/>
  <c r="D285" i="289"/>
  <c r="Z284" i="289"/>
  <c r="Y284" i="289"/>
  <c r="X284" i="289"/>
  <c r="W284" i="289"/>
  <c r="V284" i="289"/>
  <c r="U284" i="289"/>
  <c r="T284" i="289"/>
  <c r="S284" i="289"/>
  <c r="R284" i="289"/>
  <c r="Q284" i="289"/>
  <c r="P284" i="289"/>
  <c r="O284" i="289"/>
  <c r="N284" i="289"/>
  <c r="M284" i="289"/>
  <c r="L284" i="289"/>
  <c r="K284" i="289"/>
  <c r="J284" i="289"/>
  <c r="I284" i="289"/>
  <c r="H284" i="289"/>
  <c r="G284" i="289"/>
  <c r="F284" i="289"/>
  <c r="E284" i="289"/>
  <c r="D284" i="289"/>
  <c r="Z283" i="289"/>
  <c r="Y283" i="289"/>
  <c r="X283" i="289"/>
  <c r="W283" i="289"/>
  <c r="V283" i="289"/>
  <c r="U283" i="289"/>
  <c r="T283" i="289"/>
  <c r="S283" i="289"/>
  <c r="R283" i="289"/>
  <c r="Q283" i="289"/>
  <c r="P283" i="289"/>
  <c r="O283" i="289"/>
  <c r="N283" i="289"/>
  <c r="M283" i="289"/>
  <c r="L283" i="289"/>
  <c r="K283" i="289"/>
  <c r="J283" i="289"/>
  <c r="I283" i="289"/>
  <c r="H283" i="289"/>
  <c r="G283" i="289"/>
  <c r="F283" i="289"/>
  <c r="E283" i="289"/>
  <c r="D283" i="289"/>
  <c r="Z282" i="289"/>
  <c r="Y282" i="289"/>
  <c r="X282" i="289"/>
  <c r="W282" i="289"/>
  <c r="V282" i="289"/>
  <c r="U282" i="289"/>
  <c r="T282" i="289"/>
  <c r="S282" i="289"/>
  <c r="R282" i="289"/>
  <c r="Q282" i="289"/>
  <c r="P282" i="289"/>
  <c r="O282" i="289"/>
  <c r="N282" i="289"/>
  <c r="M282" i="289"/>
  <c r="L282" i="289"/>
  <c r="K282" i="289"/>
  <c r="J282" i="289"/>
  <c r="I282" i="289"/>
  <c r="H282" i="289"/>
  <c r="G282" i="289"/>
  <c r="F282" i="289"/>
  <c r="E282" i="289"/>
  <c r="D282" i="289"/>
  <c r="Z281" i="289"/>
  <c r="Y281" i="289"/>
  <c r="X281" i="289"/>
  <c r="W281" i="289"/>
  <c r="V281" i="289"/>
  <c r="U281" i="289"/>
  <c r="T281" i="289"/>
  <c r="S281" i="289"/>
  <c r="R281" i="289"/>
  <c r="Q281" i="289"/>
  <c r="P281" i="289"/>
  <c r="O281" i="289"/>
  <c r="N281" i="289"/>
  <c r="M281" i="289"/>
  <c r="L281" i="289"/>
  <c r="K281" i="289"/>
  <c r="J281" i="289"/>
  <c r="I281" i="289"/>
  <c r="H281" i="289"/>
  <c r="G281" i="289"/>
  <c r="F281" i="289"/>
  <c r="E281" i="289"/>
  <c r="D281" i="289"/>
  <c r="Z280" i="289"/>
  <c r="Y280" i="289"/>
  <c r="X280" i="289"/>
  <c r="W280" i="289"/>
  <c r="V280" i="289"/>
  <c r="U280" i="289"/>
  <c r="T280" i="289"/>
  <c r="S280" i="289"/>
  <c r="R280" i="289"/>
  <c r="Q280" i="289"/>
  <c r="P280" i="289"/>
  <c r="O280" i="289"/>
  <c r="N280" i="289"/>
  <c r="M280" i="289"/>
  <c r="L280" i="289"/>
  <c r="K280" i="289"/>
  <c r="J280" i="289"/>
  <c r="I280" i="289"/>
  <c r="H280" i="289"/>
  <c r="G280" i="289"/>
  <c r="F280" i="289"/>
  <c r="E280" i="289"/>
  <c r="D280" i="289"/>
  <c r="Z279" i="289"/>
  <c r="Y279" i="289"/>
  <c r="X279" i="289"/>
  <c r="W279" i="289"/>
  <c r="V279" i="289"/>
  <c r="U279" i="289"/>
  <c r="T279" i="289"/>
  <c r="S279" i="289"/>
  <c r="R279" i="289"/>
  <c r="Q279" i="289"/>
  <c r="P279" i="289"/>
  <c r="O279" i="289"/>
  <c r="N279" i="289"/>
  <c r="M279" i="289"/>
  <c r="L279" i="289"/>
  <c r="K279" i="289"/>
  <c r="J279" i="289"/>
  <c r="I279" i="289"/>
  <c r="H279" i="289"/>
  <c r="G279" i="289"/>
  <c r="F279" i="289"/>
  <c r="E279" i="289"/>
  <c r="D279" i="289"/>
  <c r="Z278" i="289"/>
  <c r="Y278" i="289"/>
  <c r="X278" i="289"/>
  <c r="W278" i="289"/>
  <c r="V278" i="289"/>
  <c r="U278" i="289"/>
  <c r="T278" i="289"/>
  <c r="S278" i="289"/>
  <c r="R278" i="289"/>
  <c r="Q278" i="289"/>
  <c r="P278" i="289"/>
  <c r="O278" i="289"/>
  <c r="N278" i="289"/>
  <c r="M278" i="289"/>
  <c r="L278" i="289"/>
  <c r="K278" i="289"/>
  <c r="J278" i="289"/>
  <c r="I278" i="289"/>
  <c r="H278" i="289"/>
  <c r="G278" i="289"/>
  <c r="F278" i="289"/>
  <c r="E278" i="289"/>
  <c r="D278" i="289"/>
  <c r="Z277" i="289"/>
  <c r="Y277" i="289"/>
  <c r="X277" i="289"/>
  <c r="W277" i="289"/>
  <c r="V277" i="289"/>
  <c r="U277" i="289"/>
  <c r="T277" i="289"/>
  <c r="S277" i="289"/>
  <c r="R277" i="289"/>
  <c r="Q277" i="289"/>
  <c r="P277" i="289"/>
  <c r="O277" i="289"/>
  <c r="N277" i="289"/>
  <c r="M277" i="289"/>
  <c r="L277" i="289"/>
  <c r="K277" i="289"/>
  <c r="J277" i="289"/>
  <c r="I277" i="289"/>
  <c r="H277" i="289"/>
  <c r="G277" i="289"/>
  <c r="F277" i="289"/>
  <c r="E277" i="289"/>
  <c r="D277" i="289"/>
  <c r="Z276" i="289"/>
  <c r="Y276" i="289"/>
  <c r="X276" i="289"/>
  <c r="W276" i="289"/>
  <c r="V276" i="289"/>
  <c r="U276" i="289"/>
  <c r="T276" i="289"/>
  <c r="S276" i="289"/>
  <c r="R276" i="289"/>
  <c r="Q276" i="289"/>
  <c r="P276" i="289"/>
  <c r="O276" i="289"/>
  <c r="N276" i="289"/>
  <c r="M276" i="289"/>
  <c r="L276" i="289"/>
  <c r="K276" i="289"/>
  <c r="J276" i="289"/>
  <c r="I276" i="289"/>
  <c r="H276" i="289"/>
  <c r="G276" i="289"/>
  <c r="F276" i="289"/>
  <c r="E276" i="289"/>
  <c r="D276" i="289"/>
  <c r="Z275" i="289"/>
  <c r="Y275" i="289"/>
  <c r="X275" i="289"/>
  <c r="W275" i="289"/>
  <c r="V275" i="289"/>
  <c r="U275" i="289"/>
  <c r="T275" i="289"/>
  <c r="S275" i="289"/>
  <c r="R275" i="289"/>
  <c r="Q275" i="289"/>
  <c r="P275" i="289"/>
  <c r="O275" i="289"/>
  <c r="N275" i="289"/>
  <c r="M275" i="289"/>
  <c r="L275" i="289"/>
  <c r="K275" i="289"/>
  <c r="J275" i="289"/>
  <c r="I275" i="289"/>
  <c r="H275" i="289"/>
  <c r="G275" i="289"/>
  <c r="F275" i="289"/>
  <c r="E275" i="289"/>
  <c r="D275" i="289"/>
  <c r="Z274" i="289"/>
  <c r="Y274" i="289"/>
  <c r="X274" i="289"/>
  <c r="W274" i="289"/>
  <c r="V274" i="289"/>
  <c r="U274" i="289"/>
  <c r="T274" i="289"/>
  <c r="S274" i="289"/>
  <c r="R274" i="289"/>
  <c r="Q274" i="289"/>
  <c r="P274" i="289"/>
  <c r="O274" i="289"/>
  <c r="N274" i="289"/>
  <c r="M274" i="289"/>
  <c r="L274" i="289"/>
  <c r="K274" i="289"/>
  <c r="J274" i="289"/>
  <c r="I274" i="289"/>
  <c r="H274" i="289"/>
  <c r="G274" i="289"/>
  <c r="F274" i="289"/>
  <c r="E274" i="289"/>
  <c r="D274" i="289"/>
  <c r="Z273" i="289"/>
  <c r="Y273" i="289"/>
  <c r="X273" i="289"/>
  <c r="W273" i="289"/>
  <c r="V273" i="289"/>
  <c r="U273" i="289"/>
  <c r="T273" i="289"/>
  <c r="S273" i="289"/>
  <c r="R273" i="289"/>
  <c r="Q273" i="289"/>
  <c r="P273" i="289"/>
  <c r="O273" i="289"/>
  <c r="N273" i="289"/>
  <c r="M273" i="289"/>
  <c r="L273" i="289"/>
  <c r="K273" i="289"/>
  <c r="J273" i="289"/>
  <c r="I273" i="289"/>
  <c r="H273" i="289"/>
  <c r="G273" i="289"/>
  <c r="F273" i="289"/>
  <c r="E273" i="289"/>
  <c r="D273" i="289"/>
  <c r="Z272" i="289"/>
  <c r="Y272" i="289"/>
  <c r="X272" i="289"/>
  <c r="W272" i="289"/>
  <c r="V272" i="289"/>
  <c r="U272" i="289"/>
  <c r="T272" i="289"/>
  <c r="S272" i="289"/>
  <c r="R272" i="289"/>
  <c r="Q272" i="289"/>
  <c r="P272" i="289"/>
  <c r="O272" i="289"/>
  <c r="N272" i="289"/>
  <c r="M272" i="289"/>
  <c r="L272" i="289"/>
  <c r="K272" i="289"/>
  <c r="J272" i="289"/>
  <c r="I272" i="289"/>
  <c r="H272" i="289"/>
  <c r="G272" i="289"/>
  <c r="F272" i="289"/>
  <c r="E272" i="289"/>
  <c r="D272" i="289"/>
  <c r="Z271" i="289"/>
  <c r="Y271" i="289"/>
  <c r="X271" i="289"/>
  <c r="W271" i="289"/>
  <c r="V271" i="289"/>
  <c r="U271" i="289"/>
  <c r="T271" i="289"/>
  <c r="S271" i="289"/>
  <c r="R271" i="289"/>
  <c r="Q271" i="289"/>
  <c r="P271" i="289"/>
  <c r="O271" i="289"/>
  <c r="N271" i="289"/>
  <c r="M271" i="289"/>
  <c r="L271" i="289"/>
  <c r="K271" i="289"/>
  <c r="J271" i="289"/>
  <c r="I271" i="289"/>
  <c r="H271" i="289"/>
  <c r="G271" i="289"/>
  <c r="F271" i="289"/>
  <c r="E271" i="289"/>
  <c r="D271" i="289"/>
  <c r="Z270" i="289"/>
  <c r="Y270" i="289"/>
  <c r="X270" i="289"/>
  <c r="W270" i="289"/>
  <c r="V270" i="289"/>
  <c r="U270" i="289"/>
  <c r="T270" i="289"/>
  <c r="S270" i="289"/>
  <c r="R270" i="289"/>
  <c r="Q270" i="289"/>
  <c r="P270" i="289"/>
  <c r="O270" i="289"/>
  <c r="N270" i="289"/>
  <c r="M270" i="289"/>
  <c r="L270" i="289"/>
  <c r="K270" i="289"/>
  <c r="J270" i="289"/>
  <c r="I270" i="289"/>
  <c r="H270" i="289"/>
  <c r="G270" i="289"/>
  <c r="F270" i="289"/>
  <c r="E270" i="289"/>
  <c r="D270" i="289"/>
  <c r="Z269" i="289"/>
  <c r="Y269" i="289"/>
  <c r="X269" i="289"/>
  <c r="W269" i="289"/>
  <c r="V269" i="289"/>
  <c r="U269" i="289"/>
  <c r="T269" i="289"/>
  <c r="S269" i="289"/>
  <c r="R269" i="289"/>
  <c r="Q269" i="289"/>
  <c r="P269" i="289"/>
  <c r="O269" i="289"/>
  <c r="N269" i="289"/>
  <c r="M269" i="289"/>
  <c r="L269" i="289"/>
  <c r="K269" i="289"/>
  <c r="J269" i="289"/>
  <c r="I269" i="289"/>
  <c r="H269" i="289"/>
  <c r="G269" i="289"/>
  <c r="F269" i="289"/>
  <c r="E269" i="289"/>
  <c r="D269" i="289"/>
  <c r="Z268" i="289"/>
  <c r="Y268" i="289"/>
  <c r="X268" i="289"/>
  <c r="W268" i="289"/>
  <c r="V268" i="289"/>
  <c r="U268" i="289"/>
  <c r="T268" i="289"/>
  <c r="S268" i="289"/>
  <c r="R268" i="289"/>
  <c r="Q268" i="289"/>
  <c r="P268" i="289"/>
  <c r="O268" i="289"/>
  <c r="N268" i="289"/>
  <c r="M268" i="289"/>
  <c r="L268" i="289"/>
  <c r="K268" i="289"/>
  <c r="J268" i="289"/>
  <c r="I268" i="289"/>
  <c r="H268" i="289"/>
  <c r="G268" i="289"/>
  <c r="F268" i="289"/>
  <c r="E268" i="289"/>
  <c r="D268" i="289"/>
  <c r="Z267" i="289"/>
  <c r="Y267" i="289"/>
  <c r="X267" i="289"/>
  <c r="W267" i="289"/>
  <c r="V267" i="289"/>
  <c r="U267" i="289"/>
  <c r="T267" i="289"/>
  <c r="S267" i="289"/>
  <c r="R267" i="289"/>
  <c r="Q267" i="289"/>
  <c r="P267" i="289"/>
  <c r="O267" i="289"/>
  <c r="N267" i="289"/>
  <c r="M267" i="289"/>
  <c r="L267" i="289"/>
  <c r="K267" i="289"/>
  <c r="J267" i="289"/>
  <c r="I267" i="289"/>
  <c r="H267" i="289"/>
  <c r="G267" i="289"/>
  <c r="F267" i="289"/>
  <c r="E267" i="289"/>
  <c r="D267" i="289"/>
  <c r="Z266" i="289"/>
  <c r="Y266" i="289"/>
  <c r="X266" i="289"/>
  <c r="W266" i="289"/>
  <c r="V266" i="289"/>
  <c r="U266" i="289"/>
  <c r="T266" i="289"/>
  <c r="S266" i="289"/>
  <c r="R266" i="289"/>
  <c r="Q266" i="289"/>
  <c r="P266" i="289"/>
  <c r="O266" i="289"/>
  <c r="N266" i="289"/>
  <c r="M266" i="289"/>
  <c r="L266" i="289"/>
  <c r="K266" i="289"/>
  <c r="J266" i="289"/>
  <c r="I266" i="289"/>
  <c r="H266" i="289"/>
  <c r="G266" i="289"/>
  <c r="F266" i="289"/>
  <c r="E266" i="289"/>
  <c r="D266" i="289"/>
  <c r="Z265" i="289"/>
  <c r="Y265" i="289"/>
  <c r="X265" i="289"/>
  <c r="W265" i="289"/>
  <c r="V265" i="289"/>
  <c r="U265" i="289"/>
  <c r="T265" i="289"/>
  <c r="S265" i="289"/>
  <c r="R265" i="289"/>
  <c r="Q265" i="289"/>
  <c r="P265" i="289"/>
  <c r="O265" i="289"/>
  <c r="N265" i="289"/>
  <c r="M265" i="289"/>
  <c r="L265" i="289"/>
  <c r="K265" i="289"/>
  <c r="J265" i="289"/>
  <c r="I265" i="289"/>
  <c r="H265" i="289"/>
  <c r="G265" i="289"/>
  <c r="F265" i="289"/>
  <c r="E265" i="289"/>
  <c r="D265" i="289"/>
  <c r="Z264" i="289"/>
  <c r="Y264" i="289"/>
  <c r="X264" i="289"/>
  <c r="W264" i="289"/>
  <c r="V264" i="289"/>
  <c r="U264" i="289"/>
  <c r="T264" i="289"/>
  <c r="S264" i="289"/>
  <c r="R264" i="289"/>
  <c r="Q264" i="289"/>
  <c r="P264" i="289"/>
  <c r="O264" i="289"/>
  <c r="N264" i="289"/>
  <c r="M264" i="289"/>
  <c r="L264" i="289"/>
  <c r="K264" i="289"/>
  <c r="J264" i="289"/>
  <c r="I264" i="289"/>
  <c r="H264" i="289"/>
  <c r="G264" i="289"/>
  <c r="F264" i="289"/>
  <c r="E264" i="289"/>
  <c r="D264" i="289"/>
  <c r="Z263" i="289"/>
  <c r="Y263" i="289"/>
  <c r="X263" i="289"/>
  <c r="W263" i="289"/>
  <c r="V263" i="289"/>
  <c r="U263" i="289"/>
  <c r="T263" i="289"/>
  <c r="S263" i="289"/>
  <c r="R263" i="289"/>
  <c r="Q263" i="289"/>
  <c r="P263" i="289"/>
  <c r="O263" i="289"/>
  <c r="N263" i="289"/>
  <c r="M263" i="289"/>
  <c r="L263" i="289"/>
  <c r="K263" i="289"/>
  <c r="J263" i="289"/>
  <c r="I263" i="289"/>
  <c r="H263" i="289"/>
  <c r="G263" i="289"/>
  <c r="F263" i="289"/>
  <c r="E263" i="289"/>
  <c r="D263" i="289"/>
  <c r="Z262" i="289"/>
  <c r="Y262" i="289"/>
  <c r="X262" i="289"/>
  <c r="W262" i="289"/>
  <c r="V262" i="289"/>
  <c r="U262" i="289"/>
  <c r="T262" i="289"/>
  <c r="S262" i="289"/>
  <c r="R262" i="289"/>
  <c r="Q262" i="289"/>
  <c r="P262" i="289"/>
  <c r="O262" i="289"/>
  <c r="N262" i="289"/>
  <c r="M262" i="289"/>
  <c r="L262" i="289"/>
  <c r="K262" i="289"/>
  <c r="J262" i="289"/>
  <c r="I262" i="289"/>
  <c r="H262" i="289"/>
  <c r="G262" i="289"/>
  <c r="F262" i="289"/>
  <c r="E262" i="289"/>
  <c r="D262" i="289"/>
  <c r="Z261" i="289"/>
  <c r="Y261" i="289"/>
  <c r="X261" i="289"/>
  <c r="W261" i="289"/>
  <c r="V261" i="289"/>
  <c r="U261" i="289"/>
  <c r="T261" i="289"/>
  <c r="S261" i="289"/>
  <c r="R261" i="289"/>
  <c r="Q261" i="289"/>
  <c r="P261" i="289"/>
  <c r="O261" i="289"/>
  <c r="N261" i="289"/>
  <c r="M261" i="289"/>
  <c r="L261" i="289"/>
  <c r="K261" i="289"/>
  <c r="J261" i="289"/>
  <c r="I261" i="289"/>
  <c r="H261" i="289"/>
  <c r="G261" i="289"/>
  <c r="F261" i="289"/>
  <c r="E261" i="289"/>
  <c r="D261" i="289"/>
  <c r="Z260" i="289"/>
  <c r="Y260" i="289"/>
  <c r="X260" i="289"/>
  <c r="W260" i="289"/>
  <c r="V260" i="289"/>
  <c r="U260" i="289"/>
  <c r="T260" i="289"/>
  <c r="S260" i="289"/>
  <c r="R260" i="289"/>
  <c r="Q260" i="289"/>
  <c r="P260" i="289"/>
  <c r="O260" i="289"/>
  <c r="N260" i="289"/>
  <c r="M260" i="289"/>
  <c r="L260" i="289"/>
  <c r="K260" i="289"/>
  <c r="J260" i="289"/>
  <c r="I260" i="289"/>
  <c r="H260" i="289"/>
  <c r="G260" i="289"/>
  <c r="F260" i="289"/>
  <c r="E260" i="289"/>
  <c r="D260" i="289"/>
  <c r="Z259" i="289"/>
  <c r="Y259" i="289"/>
  <c r="X259" i="289"/>
  <c r="W259" i="289"/>
  <c r="V259" i="289"/>
  <c r="U259" i="289"/>
  <c r="T259" i="289"/>
  <c r="S259" i="289"/>
  <c r="R259" i="289"/>
  <c r="Q259" i="289"/>
  <c r="P259" i="289"/>
  <c r="O259" i="289"/>
  <c r="N259" i="289"/>
  <c r="M259" i="289"/>
  <c r="L259" i="289"/>
  <c r="K259" i="289"/>
  <c r="J259" i="289"/>
  <c r="I259" i="289"/>
  <c r="H259" i="289"/>
  <c r="G259" i="289"/>
  <c r="F259" i="289"/>
  <c r="E259" i="289"/>
  <c r="D259" i="289"/>
  <c r="Z258" i="289"/>
  <c r="Y258" i="289"/>
  <c r="X258" i="289"/>
  <c r="W258" i="289"/>
  <c r="V258" i="289"/>
  <c r="U258" i="289"/>
  <c r="T258" i="289"/>
  <c r="S258" i="289"/>
  <c r="R258" i="289"/>
  <c r="Q258" i="289"/>
  <c r="P258" i="289"/>
  <c r="O258" i="289"/>
  <c r="N258" i="289"/>
  <c r="M258" i="289"/>
  <c r="L258" i="289"/>
  <c r="K258" i="289"/>
  <c r="J258" i="289"/>
  <c r="I258" i="289"/>
  <c r="H258" i="289"/>
  <c r="G258" i="289"/>
  <c r="F258" i="289"/>
  <c r="E258" i="289"/>
  <c r="D258" i="289"/>
  <c r="Z257" i="289"/>
  <c r="Y257" i="289"/>
  <c r="X257" i="289"/>
  <c r="W257" i="289"/>
  <c r="V257" i="289"/>
  <c r="U257" i="289"/>
  <c r="T257" i="289"/>
  <c r="S257" i="289"/>
  <c r="R257" i="289"/>
  <c r="Q257" i="289"/>
  <c r="P257" i="289"/>
  <c r="O257" i="289"/>
  <c r="N257" i="289"/>
  <c r="M257" i="289"/>
  <c r="L257" i="289"/>
  <c r="K257" i="289"/>
  <c r="J257" i="289"/>
  <c r="I257" i="289"/>
  <c r="H257" i="289"/>
  <c r="G257" i="289"/>
  <c r="F257" i="289"/>
  <c r="E257" i="289"/>
  <c r="D257" i="289"/>
  <c r="Z256" i="289"/>
  <c r="Y256" i="289"/>
  <c r="X256" i="289"/>
  <c r="W256" i="289"/>
  <c r="V256" i="289"/>
  <c r="U256" i="289"/>
  <c r="T256" i="289"/>
  <c r="S256" i="289"/>
  <c r="R256" i="289"/>
  <c r="Q256" i="289"/>
  <c r="P256" i="289"/>
  <c r="O256" i="289"/>
  <c r="N256" i="289"/>
  <c r="M256" i="289"/>
  <c r="L256" i="289"/>
  <c r="K256" i="289"/>
  <c r="J256" i="289"/>
  <c r="I256" i="289"/>
  <c r="H256" i="289"/>
  <c r="G256" i="289"/>
  <c r="F256" i="289"/>
  <c r="E256" i="289"/>
  <c r="D256" i="289"/>
  <c r="Z255" i="289"/>
  <c r="Y255" i="289"/>
  <c r="X255" i="289"/>
  <c r="W255" i="289"/>
  <c r="V255" i="289"/>
  <c r="U255" i="289"/>
  <c r="T255" i="289"/>
  <c r="S255" i="289"/>
  <c r="R255" i="289"/>
  <c r="Q255" i="289"/>
  <c r="P255" i="289"/>
  <c r="O255" i="289"/>
  <c r="N255" i="289"/>
  <c r="M255" i="289"/>
  <c r="L255" i="289"/>
  <c r="K255" i="289"/>
  <c r="J255" i="289"/>
  <c r="I255" i="289"/>
  <c r="H255" i="289"/>
  <c r="G255" i="289"/>
  <c r="F255" i="289"/>
  <c r="E255" i="289"/>
  <c r="D255" i="289"/>
  <c r="Z254" i="289"/>
  <c r="Y254" i="289"/>
  <c r="X254" i="289"/>
  <c r="W254" i="289"/>
  <c r="V254" i="289"/>
  <c r="U254" i="289"/>
  <c r="T254" i="289"/>
  <c r="S254" i="289"/>
  <c r="R254" i="289"/>
  <c r="Q254" i="289"/>
  <c r="P254" i="289"/>
  <c r="O254" i="289"/>
  <c r="N254" i="289"/>
  <c r="M254" i="289"/>
  <c r="L254" i="289"/>
  <c r="K254" i="289"/>
  <c r="J254" i="289"/>
  <c r="I254" i="289"/>
  <c r="H254" i="289"/>
  <c r="G254" i="289"/>
  <c r="F254" i="289"/>
  <c r="E254" i="289"/>
  <c r="D254" i="289"/>
  <c r="Z253" i="289"/>
  <c r="Y253" i="289"/>
  <c r="X253" i="289"/>
  <c r="W253" i="289"/>
  <c r="V253" i="289"/>
  <c r="U253" i="289"/>
  <c r="T253" i="289"/>
  <c r="S253" i="289"/>
  <c r="R253" i="289"/>
  <c r="Q253" i="289"/>
  <c r="P253" i="289"/>
  <c r="O253" i="289"/>
  <c r="N253" i="289"/>
  <c r="M253" i="289"/>
  <c r="L253" i="289"/>
  <c r="K253" i="289"/>
  <c r="J253" i="289"/>
  <c r="I253" i="289"/>
  <c r="H253" i="289"/>
  <c r="G253" i="289"/>
  <c r="F253" i="289"/>
  <c r="E253" i="289"/>
  <c r="D253" i="289"/>
  <c r="Z252" i="289"/>
  <c r="Y252" i="289"/>
  <c r="X252" i="289"/>
  <c r="W252" i="289"/>
  <c r="V252" i="289"/>
  <c r="U252" i="289"/>
  <c r="T252" i="289"/>
  <c r="S252" i="289"/>
  <c r="R252" i="289"/>
  <c r="Q252" i="289"/>
  <c r="P252" i="289"/>
  <c r="O252" i="289"/>
  <c r="N252" i="289"/>
  <c r="M252" i="289"/>
  <c r="L252" i="289"/>
  <c r="K252" i="289"/>
  <c r="J252" i="289"/>
  <c r="I252" i="289"/>
  <c r="H252" i="289"/>
  <c r="G252" i="289"/>
  <c r="F252" i="289"/>
  <c r="E252" i="289"/>
  <c r="D252" i="289"/>
  <c r="Z251" i="289"/>
  <c r="Y251" i="289"/>
  <c r="X251" i="289"/>
  <c r="W251" i="289"/>
  <c r="V251" i="289"/>
  <c r="U251" i="289"/>
  <c r="T251" i="289"/>
  <c r="S251" i="289"/>
  <c r="R251" i="289"/>
  <c r="Q251" i="289"/>
  <c r="P251" i="289"/>
  <c r="O251" i="289"/>
  <c r="N251" i="289"/>
  <c r="M251" i="289"/>
  <c r="L251" i="289"/>
  <c r="K251" i="289"/>
  <c r="J251" i="289"/>
  <c r="I251" i="289"/>
  <c r="H251" i="289"/>
  <c r="G251" i="289"/>
  <c r="F251" i="289"/>
  <c r="E251" i="289"/>
  <c r="D251" i="289"/>
  <c r="Z250" i="289"/>
  <c r="Y250" i="289"/>
  <c r="X250" i="289"/>
  <c r="W250" i="289"/>
  <c r="V250" i="289"/>
  <c r="U250" i="289"/>
  <c r="T250" i="289"/>
  <c r="S250" i="289"/>
  <c r="R250" i="289"/>
  <c r="Q250" i="289"/>
  <c r="P250" i="289"/>
  <c r="O250" i="289"/>
  <c r="N250" i="289"/>
  <c r="M250" i="289"/>
  <c r="L250" i="289"/>
  <c r="K250" i="289"/>
  <c r="J250" i="289"/>
  <c r="I250" i="289"/>
  <c r="H250" i="289"/>
  <c r="G250" i="289"/>
  <c r="F250" i="289"/>
  <c r="E250" i="289"/>
  <c r="D250" i="289"/>
  <c r="Z249" i="289"/>
  <c r="Y249" i="289"/>
  <c r="X249" i="289"/>
  <c r="W249" i="289"/>
  <c r="V249" i="289"/>
  <c r="U249" i="289"/>
  <c r="T249" i="289"/>
  <c r="S249" i="289"/>
  <c r="R249" i="289"/>
  <c r="Q249" i="289"/>
  <c r="P249" i="289"/>
  <c r="O249" i="289"/>
  <c r="N249" i="289"/>
  <c r="M249" i="289"/>
  <c r="L249" i="289"/>
  <c r="K249" i="289"/>
  <c r="J249" i="289"/>
  <c r="I249" i="289"/>
  <c r="H249" i="289"/>
  <c r="G249" i="289"/>
  <c r="F249" i="289"/>
  <c r="E249" i="289"/>
  <c r="D249" i="289"/>
  <c r="Z248" i="289"/>
  <c r="Y248" i="289"/>
  <c r="X248" i="289"/>
  <c r="W248" i="289"/>
  <c r="V248" i="289"/>
  <c r="U248" i="289"/>
  <c r="T248" i="289"/>
  <c r="S248" i="289"/>
  <c r="R248" i="289"/>
  <c r="Q248" i="289"/>
  <c r="P248" i="289"/>
  <c r="O248" i="289"/>
  <c r="N248" i="289"/>
  <c r="M248" i="289"/>
  <c r="L248" i="289"/>
  <c r="K248" i="289"/>
  <c r="J248" i="289"/>
  <c r="I248" i="289"/>
  <c r="H248" i="289"/>
  <c r="G248" i="289"/>
  <c r="F248" i="289"/>
  <c r="E248" i="289"/>
  <c r="D248" i="289"/>
  <c r="Z247" i="289"/>
  <c r="Y247" i="289"/>
  <c r="X247" i="289"/>
  <c r="W247" i="289"/>
  <c r="V247" i="289"/>
  <c r="U247" i="289"/>
  <c r="T247" i="289"/>
  <c r="S247" i="289"/>
  <c r="R247" i="289"/>
  <c r="Q247" i="289"/>
  <c r="P247" i="289"/>
  <c r="O247" i="289"/>
  <c r="N247" i="289"/>
  <c r="M247" i="289"/>
  <c r="L247" i="289"/>
  <c r="K247" i="289"/>
  <c r="J247" i="289"/>
  <c r="I247" i="289"/>
  <c r="H247" i="289"/>
  <c r="G247" i="289"/>
  <c r="F247" i="289"/>
  <c r="E247" i="289"/>
  <c r="D247" i="289"/>
  <c r="Z246" i="289"/>
  <c r="Y246" i="289"/>
  <c r="X246" i="289"/>
  <c r="W246" i="289"/>
  <c r="V246" i="289"/>
  <c r="U246" i="289"/>
  <c r="T246" i="289"/>
  <c r="S246" i="289"/>
  <c r="R246" i="289"/>
  <c r="Q246" i="289"/>
  <c r="P246" i="289"/>
  <c r="O246" i="289"/>
  <c r="N246" i="289"/>
  <c r="M246" i="289"/>
  <c r="L246" i="289"/>
  <c r="K246" i="289"/>
  <c r="J246" i="289"/>
  <c r="I246" i="289"/>
  <c r="H246" i="289"/>
  <c r="G246" i="289"/>
  <c r="F246" i="289"/>
  <c r="E246" i="289"/>
  <c r="D246" i="289"/>
  <c r="Z245" i="289"/>
  <c r="Y245" i="289"/>
  <c r="X245" i="289"/>
  <c r="W245" i="289"/>
  <c r="V245" i="289"/>
  <c r="U245" i="289"/>
  <c r="T245" i="289"/>
  <c r="S245" i="289"/>
  <c r="R245" i="289"/>
  <c r="Q245" i="289"/>
  <c r="P245" i="289"/>
  <c r="O245" i="289"/>
  <c r="N245" i="289"/>
  <c r="M245" i="289"/>
  <c r="L245" i="289"/>
  <c r="K245" i="289"/>
  <c r="J245" i="289"/>
  <c r="I245" i="289"/>
  <c r="H245" i="289"/>
  <c r="G245" i="289"/>
  <c r="F245" i="289"/>
  <c r="E245" i="289"/>
  <c r="D245" i="289"/>
  <c r="Z244" i="289"/>
  <c r="Y244" i="289"/>
  <c r="X244" i="289"/>
  <c r="W244" i="289"/>
  <c r="V244" i="289"/>
  <c r="U244" i="289"/>
  <c r="T244" i="289"/>
  <c r="S244" i="289"/>
  <c r="R244" i="289"/>
  <c r="Q244" i="289"/>
  <c r="P244" i="289"/>
  <c r="O244" i="289"/>
  <c r="N244" i="289"/>
  <c r="M244" i="289"/>
  <c r="L244" i="289"/>
  <c r="K244" i="289"/>
  <c r="J244" i="289"/>
  <c r="I244" i="289"/>
  <c r="H244" i="289"/>
  <c r="G244" i="289"/>
  <c r="F244" i="289"/>
  <c r="E244" i="289"/>
  <c r="D244" i="289"/>
  <c r="Z243" i="289"/>
  <c r="Y243" i="289"/>
  <c r="X243" i="289"/>
  <c r="W243" i="289"/>
  <c r="V243" i="289"/>
  <c r="U243" i="289"/>
  <c r="T243" i="289"/>
  <c r="S243" i="289"/>
  <c r="R243" i="289"/>
  <c r="Q243" i="289"/>
  <c r="P243" i="289"/>
  <c r="O243" i="289"/>
  <c r="N243" i="289"/>
  <c r="M243" i="289"/>
  <c r="L243" i="289"/>
  <c r="K243" i="289"/>
  <c r="J243" i="289"/>
  <c r="I243" i="289"/>
  <c r="H243" i="289"/>
  <c r="G243" i="289"/>
  <c r="F243" i="289"/>
  <c r="E243" i="289"/>
  <c r="D243" i="289"/>
  <c r="Z242" i="289"/>
  <c r="Y242" i="289"/>
  <c r="X242" i="289"/>
  <c r="W242" i="289"/>
  <c r="V242" i="289"/>
  <c r="U242" i="289"/>
  <c r="T242" i="289"/>
  <c r="S242" i="289"/>
  <c r="R242" i="289"/>
  <c r="Q242" i="289"/>
  <c r="P242" i="289"/>
  <c r="O242" i="289"/>
  <c r="N242" i="289"/>
  <c r="M242" i="289"/>
  <c r="L242" i="289"/>
  <c r="K242" i="289"/>
  <c r="J242" i="289"/>
  <c r="I242" i="289"/>
  <c r="H242" i="289"/>
  <c r="G242" i="289"/>
  <c r="F242" i="289"/>
  <c r="E242" i="289"/>
  <c r="D242" i="289"/>
  <c r="Z241" i="289"/>
  <c r="Y241" i="289"/>
  <c r="X241" i="289"/>
  <c r="W241" i="289"/>
  <c r="V241" i="289"/>
  <c r="U241" i="289"/>
  <c r="T241" i="289"/>
  <c r="S241" i="289"/>
  <c r="R241" i="289"/>
  <c r="Q241" i="289"/>
  <c r="P241" i="289"/>
  <c r="O241" i="289"/>
  <c r="N241" i="289"/>
  <c r="M241" i="289"/>
  <c r="L241" i="289"/>
  <c r="K241" i="289"/>
  <c r="J241" i="289"/>
  <c r="I241" i="289"/>
  <c r="H241" i="289"/>
  <c r="G241" i="289"/>
  <c r="F241" i="289"/>
  <c r="E241" i="289"/>
  <c r="D241" i="289"/>
  <c r="K201" i="289"/>
  <c r="J201" i="289"/>
  <c r="I201" i="289"/>
  <c r="H201" i="289"/>
  <c r="G201" i="289"/>
  <c r="F201" i="289"/>
  <c r="E201" i="289"/>
  <c r="D201" i="289"/>
  <c r="K200" i="289"/>
  <c r="J200" i="289"/>
  <c r="I200" i="289"/>
  <c r="H200" i="289"/>
  <c r="G200" i="289"/>
  <c r="F200" i="289"/>
  <c r="E200" i="289"/>
  <c r="D200" i="289"/>
  <c r="W199" i="289"/>
  <c r="V199" i="289"/>
  <c r="U199" i="289"/>
  <c r="K199" i="289"/>
  <c r="J199" i="289"/>
  <c r="I199" i="289"/>
  <c r="H199" i="289"/>
  <c r="G199" i="289"/>
  <c r="F199" i="289"/>
  <c r="E199" i="289"/>
  <c r="D199" i="289"/>
  <c r="W198" i="289"/>
  <c r="V198" i="289"/>
  <c r="U198" i="289"/>
  <c r="K198" i="289"/>
  <c r="J198" i="289"/>
  <c r="I198" i="289"/>
  <c r="H198" i="289"/>
  <c r="G198" i="289"/>
  <c r="F198" i="289"/>
  <c r="E198" i="289"/>
  <c r="D198" i="289"/>
  <c r="W197" i="289"/>
  <c r="V197" i="289"/>
  <c r="U197" i="289"/>
  <c r="K197" i="289"/>
  <c r="J197" i="289"/>
  <c r="I197" i="289"/>
  <c r="H197" i="289"/>
  <c r="G197" i="289"/>
  <c r="F197" i="289"/>
  <c r="E197" i="289"/>
  <c r="D197" i="289"/>
  <c r="W196" i="289"/>
  <c r="V196" i="289"/>
  <c r="U196" i="289"/>
  <c r="K196" i="289"/>
  <c r="J196" i="289"/>
  <c r="I196" i="289"/>
  <c r="H196" i="289"/>
  <c r="G196" i="289"/>
  <c r="F196" i="289"/>
  <c r="E196" i="289"/>
  <c r="D196" i="289"/>
  <c r="V195" i="289"/>
  <c r="U195" i="289"/>
  <c r="T195" i="289"/>
  <c r="K195" i="289"/>
  <c r="J195" i="289"/>
  <c r="I195" i="289"/>
  <c r="H195" i="289"/>
  <c r="G195" i="289"/>
  <c r="F195" i="289"/>
  <c r="E195" i="289"/>
  <c r="D195" i="289"/>
  <c r="V194" i="289"/>
  <c r="U194" i="289"/>
  <c r="T194" i="289"/>
  <c r="K194" i="289"/>
  <c r="J194" i="289"/>
  <c r="I194" i="289"/>
  <c r="H194" i="289"/>
  <c r="G194" i="289"/>
  <c r="F194" i="289"/>
  <c r="E194" i="289"/>
  <c r="D194" i="289"/>
  <c r="Y193" i="289"/>
  <c r="X193" i="289"/>
  <c r="W193" i="289"/>
  <c r="V193" i="289"/>
  <c r="U193" i="289"/>
  <c r="T193" i="289"/>
  <c r="K193" i="289"/>
  <c r="J193" i="289"/>
  <c r="I193" i="289"/>
  <c r="H193" i="289"/>
  <c r="G193" i="289"/>
  <c r="F193" i="289"/>
  <c r="E193" i="289"/>
  <c r="D193" i="289"/>
  <c r="Y192" i="289"/>
  <c r="X192" i="289"/>
  <c r="W192" i="289"/>
  <c r="V192" i="289"/>
  <c r="U192" i="289"/>
  <c r="T192" i="289"/>
  <c r="L192" i="289"/>
  <c r="K192" i="289"/>
  <c r="J192" i="289"/>
  <c r="I192" i="289"/>
  <c r="H192" i="289"/>
  <c r="G192" i="289"/>
  <c r="F192" i="289"/>
  <c r="E192" i="289"/>
  <c r="D192" i="289"/>
  <c r="X191" i="289"/>
  <c r="W191" i="289"/>
  <c r="V191" i="289"/>
  <c r="U191" i="289"/>
  <c r="T191" i="289"/>
  <c r="K191" i="289"/>
  <c r="J191" i="289"/>
  <c r="I191" i="289"/>
  <c r="H191" i="289"/>
  <c r="G191" i="289"/>
  <c r="F191" i="289"/>
  <c r="E191" i="289"/>
  <c r="D191" i="289"/>
  <c r="X190" i="289"/>
  <c r="W190" i="289"/>
  <c r="V190" i="289"/>
  <c r="U190" i="289"/>
  <c r="T190" i="289"/>
  <c r="K190" i="289"/>
  <c r="J190" i="289"/>
  <c r="I190" i="289"/>
  <c r="H190" i="289"/>
  <c r="G190" i="289"/>
  <c r="F190" i="289"/>
  <c r="E190" i="289"/>
  <c r="D190" i="289"/>
  <c r="W189" i="289"/>
  <c r="V189" i="289"/>
  <c r="U189" i="289"/>
  <c r="T189" i="289"/>
  <c r="S189" i="289"/>
  <c r="K189" i="289"/>
  <c r="J189" i="289"/>
  <c r="I189" i="289"/>
  <c r="H189" i="289"/>
  <c r="G189" i="289"/>
  <c r="F189" i="289"/>
  <c r="E189" i="289"/>
  <c r="D189" i="289"/>
  <c r="W188" i="289"/>
  <c r="V188" i="289"/>
  <c r="U188" i="289"/>
  <c r="T188" i="289"/>
  <c r="S188" i="289"/>
  <c r="K188" i="289"/>
  <c r="J188" i="289"/>
  <c r="I188" i="289"/>
  <c r="H188" i="289"/>
  <c r="G188" i="289"/>
  <c r="F188" i="289"/>
  <c r="E188" i="289"/>
  <c r="D188" i="289"/>
  <c r="V187" i="289"/>
  <c r="U187" i="289"/>
  <c r="T187" i="289"/>
  <c r="S187" i="289"/>
  <c r="R187" i="289"/>
  <c r="J187" i="289"/>
  <c r="I187" i="289"/>
  <c r="H187" i="289"/>
  <c r="G187" i="289"/>
  <c r="F187" i="289"/>
  <c r="E187" i="289"/>
  <c r="D187" i="289"/>
  <c r="V186" i="289"/>
  <c r="U186" i="289"/>
  <c r="T186" i="289"/>
  <c r="S186" i="289"/>
  <c r="R186" i="289"/>
  <c r="J186" i="289"/>
  <c r="I186" i="289"/>
  <c r="H186" i="289"/>
  <c r="G186" i="289"/>
  <c r="F186" i="289"/>
  <c r="E186" i="289"/>
  <c r="D186" i="289"/>
  <c r="U185" i="289"/>
  <c r="T185" i="289"/>
  <c r="S185" i="289"/>
  <c r="R185" i="289"/>
  <c r="Q185" i="289"/>
  <c r="J185" i="289"/>
  <c r="I185" i="289"/>
  <c r="H185" i="289"/>
  <c r="G185" i="289"/>
  <c r="F185" i="289"/>
  <c r="E185" i="289"/>
  <c r="D185" i="289"/>
  <c r="U184" i="289"/>
  <c r="T184" i="289"/>
  <c r="S184" i="289"/>
  <c r="R184" i="289"/>
  <c r="Q184" i="289"/>
  <c r="I184" i="289"/>
  <c r="H184" i="289"/>
  <c r="G184" i="289"/>
  <c r="F184" i="289"/>
  <c r="E184" i="289"/>
  <c r="D184" i="289"/>
  <c r="V183" i="289"/>
  <c r="U183" i="289"/>
  <c r="T183" i="289"/>
  <c r="S183" i="289"/>
  <c r="R183" i="289"/>
  <c r="Q183" i="289"/>
  <c r="P183" i="289"/>
  <c r="I183" i="289"/>
  <c r="H183" i="289"/>
  <c r="G183" i="289"/>
  <c r="F183" i="289"/>
  <c r="E183" i="289"/>
  <c r="D183" i="289"/>
  <c r="V182" i="289"/>
  <c r="U182" i="289"/>
  <c r="T182" i="289"/>
  <c r="S182" i="289"/>
  <c r="R182" i="289"/>
  <c r="Q182" i="289"/>
  <c r="P182" i="289"/>
  <c r="I182" i="289"/>
  <c r="H182" i="289"/>
  <c r="G182" i="289"/>
  <c r="F182" i="289"/>
  <c r="E182" i="289"/>
  <c r="D182" i="289"/>
  <c r="V181" i="289"/>
  <c r="U181" i="289"/>
  <c r="T181" i="289"/>
  <c r="S181" i="289"/>
  <c r="R181" i="289"/>
  <c r="Q181" i="289"/>
  <c r="P181" i="289"/>
  <c r="O181" i="289"/>
  <c r="I181" i="289"/>
  <c r="H181" i="289"/>
  <c r="G181" i="289"/>
  <c r="F181" i="289"/>
  <c r="E181" i="289"/>
  <c r="D181" i="289"/>
  <c r="V180" i="289"/>
  <c r="U180" i="289"/>
  <c r="T180" i="289"/>
  <c r="S180" i="289"/>
  <c r="R180" i="289"/>
  <c r="Q180" i="289"/>
  <c r="P180" i="289"/>
  <c r="O180" i="289"/>
  <c r="I180" i="289"/>
  <c r="H180" i="289"/>
  <c r="G180" i="289"/>
  <c r="F180" i="289"/>
  <c r="E180" i="289"/>
  <c r="D180" i="289"/>
  <c r="V179" i="289"/>
  <c r="U179" i="289"/>
  <c r="T179" i="289"/>
  <c r="S179" i="289"/>
  <c r="R179" i="289"/>
  <c r="Q179" i="289"/>
  <c r="P179" i="289"/>
  <c r="O179" i="289"/>
  <c r="N179" i="289"/>
  <c r="H179" i="289"/>
  <c r="G179" i="289"/>
  <c r="F179" i="289"/>
  <c r="E179" i="289"/>
  <c r="D179" i="289"/>
  <c r="V178" i="289"/>
  <c r="U178" i="289"/>
  <c r="T178" i="289"/>
  <c r="S178" i="289"/>
  <c r="R178" i="289"/>
  <c r="Q178" i="289"/>
  <c r="P178" i="289"/>
  <c r="O178" i="289"/>
  <c r="N178" i="289"/>
  <c r="H178" i="289"/>
  <c r="G178" i="289"/>
  <c r="F178" i="289"/>
  <c r="E178" i="289"/>
  <c r="D178" i="289"/>
  <c r="V177" i="289"/>
  <c r="U177" i="289"/>
  <c r="T177" i="289"/>
  <c r="S177" i="289"/>
  <c r="R177" i="289"/>
  <c r="Q177" i="289"/>
  <c r="P177" i="289"/>
  <c r="O177" i="289"/>
  <c r="N177" i="289"/>
  <c r="M177" i="289"/>
  <c r="H177" i="289"/>
  <c r="G177" i="289"/>
  <c r="F177" i="289"/>
  <c r="E177" i="289"/>
  <c r="D177" i="289"/>
  <c r="V176" i="289"/>
  <c r="U176" i="289"/>
  <c r="T176" i="289"/>
  <c r="S176" i="289"/>
  <c r="R176" i="289"/>
  <c r="Q176" i="289"/>
  <c r="P176" i="289"/>
  <c r="O176" i="289"/>
  <c r="N176" i="289"/>
  <c r="M176" i="289"/>
  <c r="G176" i="289"/>
  <c r="F176" i="289"/>
  <c r="E176" i="289"/>
  <c r="D176" i="289"/>
  <c r="V175" i="289"/>
  <c r="U175" i="289"/>
  <c r="T175" i="289"/>
  <c r="S175" i="289"/>
  <c r="R175" i="289"/>
  <c r="Q175" i="289"/>
  <c r="P175" i="289"/>
  <c r="O175" i="289"/>
  <c r="N175" i="289"/>
  <c r="M175" i="289"/>
  <c r="L175" i="289"/>
  <c r="G175" i="289"/>
  <c r="F175" i="289"/>
  <c r="E175" i="289"/>
  <c r="D175" i="289"/>
  <c r="V174" i="289"/>
  <c r="U174" i="289"/>
  <c r="T174" i="289"/>
  <c r="S174" i="289"/>
  <c r="R174" i="289"/>
  <c r="Q174" i="289"/>
  <c r="P174" i="289"/>
  <c r="O174" i="289"/>
  <c r="N174" i="289"/>
  <c r="M174" i="289"/>
  <c r="L174" i="289"/>
  <c r="F174" i="289"/>
  <c r="E174" i="289"/>
  <c r="D174" i="289"/>
  <c r="Z173" i="289"/>
  <c r="Y173" i="289"/>
  <c r="X173" i="289"/>
  <c r="W173" i="289"/>
  <c r="V173" i="289"/>
  <c r="U173" i="289"/>
  <c r="T173" i="289"/>
  <c r="S173" i="289"/>
  <c r="R173" i="289"/>
  <c r="Q173" i="289"/>
  <c r="P173" i="289"/>
  <c r="O173" i="289"/>
  <c r="N173" i="289"/>
  <c r="M173" i="289"/>
  <c r="L173" i="289"/>
  <c r="K173" i="289"/>
  <c r="F173" i="289"/>
  <c r="E173" i="289"/>
  <c r="D173" i="289"/>
  <c r="Z172" i="289"/>
  <c r="Y172" i="289"/>
  <c r="X172" i="289"/>
  <c r="W172" i="289"/>
  <c r="V172" i="289"/>
  <c r="U172" i="289"/>
  <c r="T172" i="289"/>
  <c r="S172" i="289"/>
  <c r="R172" i="289"/>
  <c r="Q172" i="289"/>
  <c r="P172" i="289"/>
  <c r="O172" i="289"/>
  <c r="N172" i="289"/>
  <c r="M172" i="289"/>
  <c r="L172" i="289"/>
  <c r="K172" i="289"/>
  <c r="F172" i="289"/>
  <c r="E172" i="289"/>
  <c r="D172" i="289"/>
  <c r="Z171" i="289"/>
  <c r="Y171" i="289"/>
  <c r="X171" i="289"/>
  <c r="W171" i="289"/>
  <c r="V171" i="289"/>
  <c r="U171" i="289"/>
  <c r="T171" i="289"/>
  <c r="S171" i="289"/>
  <c r="R171" i="289"/>
  <c r="Q171" i="289"/>
  <c r="P171" i="289"/>
  <c r="O171" i="289"/>
  <c r="N171" i="289"/>
  <c r="M171" i="289"/>
  <c r="L171" i="289"/>
  <c r="K171" i="289"/>
  <c r="J171" i="289"/>
  <c r="F171" i="289"/>
  <c r="E171" i="289"/>
  <c r="D171" i="289"/>
  <c r="Z170" i="289"/>
  <c r="Y170" i="289"/>
  <c r="X170" i="289"/>
  <c r="W170" i="289"/>
  <c r="V170" i="289"/>
  <c r="U170" i="289"/>
  <c r="T170" i="289"/>
  <c r="S170" i="289"/>
  <c r="R170" i="289"/>
  <c r="Q170" i="289"/>
  <c r="P170" i="289"/>
  <c r="O170" i="289"/>
  <c r="N170" i="289"/>
  <c r="M170" i="289"/>
  <c r="L170" i="289"/>
  <c r="K170" i="289"/>
  <c r="J170" i="289"/>
  <c r="F170" i="289"/>
  <c r="E170" i="289"/>
  <c r="D170" i="289"/>
  <c r="Z169" i="289"/>
  <c r="Y169" i="289"/>
  <c r="X169" i="289"/>
  <c r="W169" i="289"/>
  <c r="V169" i="289"/>
  <c r="U169" i="289"/>
  <c r="T169" i="289"/>
  <c r="S169" i="289"/>
  <c r="R169" i="289"/>
  <c r="Q169" i="289"/>
  <c r="P169" i="289"/>
  <c r="O169" i="289"/>
  <c r="N169" i="289"/>
  <c r="M169" i="289"/>
  <c r="L169" i="289"/>
  <c r="K169" i="289"/>
  <c r="J169" i="289"/>
  <c r="I169" i="289"/>
  <c r="F169" i="289"/>
  <c r="E169" i="289"/>
  <c r="D169" i="289"/>
  <c r="Z168" i="289"/>
  <c r="Y168" i="289"/>
  <c r="X168" i="289"/>
  <c r="W168" i="289"/>
  <c r="V168" i="289"/>
  <c r="U168" i="289"/>
  <c r="T168" i="289"/>
  <c r="S168" i="289"/>
  <c r="R168" i="289"/>
  <c r="Q168" i="289"/>
  <c r="P168" i="289"/>
  <c r="O168" i="289"/>
  <c r="N168" i="289"/>
  <c r="M168" i="289"/>
  <c r="L168" i="289"/>
  <c r="K168" i="289"/>
  <c r="J168" i="289"/>
  <c r="I168" i="289"/>
  <c r="F168" i="289"/>
  <c r="E168" i="289"/>
  <c r="D168" i="289"/>
  <c r="Z167" i="289"/>
  <c r="Y167" i="289"/>
  <c r="X167" i="289"/>
  <c r="W167" i="289"/>
  <c r="V167" i="289"/>
  <c r="U167" i="289"/>
  <c r="T167" i="289"/>
  <c r="S167" i="289"/>
  <c r="R167" i="289"/>
  <c r="Q167" i="289"/>
  <c r="P167" i="289"/>
  <c r="O167" i="289"/>
  <c r="N167" i="289"/>
  <c r="M167" i="289"/>
  <c r="L167" i="289"/>
  <c r="K167" i="289"/>
  <c r="J167" i="289"/>
  <c r="I167" i="289"/>
  <c r="H167" i="289"/>
  <c r="F167" i="289"/>
  <c r="E167" i="289"/>
  <c r="D167" i="289"/>
  <c r="Z166" i="289"/>
  <c r="Y166" i="289"/>
  <c r="X166" i="289"/>
  <c r="W166" i="289"/>
  <c r="V166" i="289"/>
  <c r="U166" i="289"/>
  <c r="T166" i="289"/>
  <c r="S166" i="289"/>
  <c r="R166" i="289"/>
  <c r="Q166" i="289"/>
  <c r="P166" i="289"/>
  <c r="O166" i="289"/>
  <c r="N166" i="289"/>
  <c r="M166" i="289"/>
  <c r="L166" i="289"/>
  <c r="K166" i="289"/>
  <c r="J166" i="289"/>
  <c r="I166" i="289"/>
  <c r="H166" i="289"/>
  <c r="G166" i="289"/>
  <c r="F166" i="289"/>
  <c r="E166" i="289"/>
  <c r="D166" i="289"/>
  <c r="Z165" i="289"/>
  <c r="Y165" i="289"/>
  <c r="X165" i="289"/>
  <c r="W165" i="289"/>
  <c r="V165" i="289"/>
  <c r="U165" i="289"/>
  <c r="T165" i="289"/>
  <c r="S165" i="289"/>
  <c r="R165" i="289"/>
  <c r="Q165" i="289"/>
  <c r="P165" i="289"/>
  <c r="O165" i="289"/>
  <c r="N165" i="289"/>
  <c r="M165" i="289"/>
  <c r="L165" i="289"/>
  <c r="K165" i="289"/>
  <c r="J165" i="289"/>
  <c r="I165" i="289"/>
  <c r="H165" i="289"/>
  <c r="G165" i="289"/>
  <c r="F165" i="289"/>
  <c r="E165" i="289"/>
  <c r="D165" i="289"/>
  <c r="Z164" i="289"/>
  <c r="Y164" i="289"/>
  <c r="X164" i="289"/>
  <c r="W164" i="289"/>
  <c r="V164" i="289"/>
  <c r="U164" i="289"/>
  <c r="T164" i="289"/>
  <c r="S164" i="289"/>
  <c r="R164" i="289"/>
  <c r="Q164" i="289"/>
  <c r="P164" i="289"/>
  <c r="O164" i="289"/>
  <c r="N164" i="289"/>
  <c r="M164" i="289"/>
  <c r="L164" i="289"/>
  <c r="K164" i="289"/>
  <c r="J164" i="289"/>
  <c r="I164" i="289"/>
  <c r="H164" i="289"/>
  <c r="G164" i="289"/>
  <c r="E164" i="289"/>
  <c r="D164" i="289"/>
  <c r="Z158" i="289"/>
  <c r="Y158" i="289"/>
  <c r="X158" i="289"/>
  <c r="W158" i="289"/>
  <c r="V158" i="289"/>
  <c r="U158" i="289"/>
  <c r="T158" i="289"/>
  <c r="S158" i="289"/>
  <c r="R158" i="289"/>
  <c r="Q158" i="289"/>
  <c r="P158" i="289"/>
  <c r="O158" i="289"/>
  <c r="N158" i="289"/>
  <c r="M158" i="289"/>
  <c r="L158" i="289"/>
  <c r="K158" i="289"/>
  <c r="J158" i="289"/>
  <c r="I158" i="289"/>
  <c r="H158" i="289"/>
  <c r="G158" i="289"/>
  <c r="F158" i="289"/>
  <c r="E158" i="289"/>
  <c r="D158" i="289"/>
  <c r="Z157" i="289"/>
  <c r="Y157" i="289"/>
  <c r="X157" i="289"/>
  <c r="W157" i="289"/>
  <c r="V157" i="289"/>
  <c r="U157" i="289"/>
  <c r="T157" i="289"/>
  <c r="S157" i="289"/>
  <c r="R157" i="289"/>
  <c r="Q157" i="289"/>
  <c r="P157" i="289"/>
  <c r="O157" i="289"/>
  <c r="N157" i="289"/>
  <c r="M157" i="289"/>
  <c r="L157" i="289"/>
  <c r="K157" i="289"/>
  <c r="J157" i="289"/>
  <c r="I157" i="289"/>
  <c r="H157" i="289"/>
  <c r="G157" i="289"/>
  <c r="F157" i="289"/>
  <c r="E157" i="289"/>
  <c r="D157" i="289"/>
  <c r="Z156" i="289"/>
  <c r="Y156" i="289"/>
  <c r="X156" i="289"/>
  <c r="W156" i="289"/>
  <c r="V156" i="289"/>
  <c r="U156" i="289"/>
  <c r="T156" i="289"/>
  <c r="S156" i="289"/>
  <c r="R156" i="289"/>
  <c r="Q156" i="289"/>
  <c r="P156" i="289"/>
  <c r="O156" i="289"/>
  <c r="N156" i="289"/>
  <c r="M156" i="289"/>
  <c r="L156" i="289"/>
  <c r="K156" i="289"/>
  <c r="J156" i="289"/>
  <c r="I156" i="289"/>
  <c r="H156" i="289"/>
  <c r="G156" i="289"/>
  <c r="F156" i="289"/>
  <c r="E156" i="289"/>
  <c r="D156" i="289"/>
  <c r="Z155" i="289"/>
  <c r="Y155" i="289"/>
  <c r="X155" i="289"/>
  <c r="W155" i="289"/>
  <c r="V155" i="289"/>
  <c r="U155" i="289"/>
  <c r="T155" i="289"/>
  <c r="S155" i="289"/>
  <c r="R155" i="289"/>
  <c r="Q155" i="289"/>
  <c r="P155" i="289"/>
  <c r="O155" i="289"/>
  <c r="N155" i="289"/>
  <c r="M155" i="289"/>
  <c r="L155" i="289"/>
  <c r="K155" i="289"/>
  <c r="J155" i="289"/>
  <c r="I155" i="289"/>
  <c r="H155" i="289"/>
  <c r="G155" i="289"/>
  <c r="F155" i="289"/>
  <c r="E155" i="289"/>
  <c r="D155" i="289"/>
  <c r="Z154" i="289"/>
  <c r="Y154" i="289"/>
  <c r="X154" i="289"/>
  <c r="W154" i="289"/>
  <c r="V154" i="289"/>
  <c r="U154" i="289"/>
  <c r="T154" i="289"/>
  <c r="S154" i="289"/>
  <c r="R154" i="289"/>
  <c r="Q154" i="289"/>
  <c r="P154" i="289"/>
  <c r="O154" i="289"/>
  <c r="N154" i="289"/>
  <c r="M154" i="289"/>
  <c r="L154" i="289"/>
  <c r="K154" i="289"/>
  <c r="J154" i="289"/>
  <c r="I154" i="289"/>
  <c r="H154" i="289"/>
  <c r="G154" i="289"/>
  <c r="F154" i="289"/>
  <c r="E154" i="289"/>
  <c r="D154" i="289"/>
  <c r="Z153" i="289"/>
  <c r="Y153" i="289"/>
  <c r="X153" i="289"/>
  <c r="W153" i="289"/>
  <c r="V153" i="289"/>
  <c r="U153" i="289"/>
  <c r="T153" i="289"/>
  <c r="S153" i="289"/>
  <c r="R153" i="289"/>
  <c r="Q153" i="289"/>
  <c r="P153" i="289"/>
  <c r="O153" i="289"/>
  <c r="N153" i="289"/>
  <c r="M153" i="289"/>
  <c r="L153" i="289"/>
  <c r="K153" i="289"/>
  <c r="J153" i="289"/>
  <c r="I153" i="289"/>
  <c r="H153" i="289"/>
  <c r="G153" i="289"/>
  <c r="F153" i="289"/>
  <c r="E153" i="289"/>
  <c r="D153" i="289"/>
  <c r="Z152" i="289"/>
  <c r="Y152" i="289"/>
  <c r="X152" i="289"/>
  <c r="W152" i="289"/>
  <c r="V152" i="289"/>
  <c r="U152" i="289"/>
  <c r="T152" i="289"/>
  <c r="S152" i="289"/>
  <c r="R152" i="289"/>
  <c r="Q152" i="289"/>
  <c r="P152" i="289"/>
  <c r="O152" i="289"/>
  <c r="N152" i="289"/>
  <c r="M152" i="289"/>
  <c r="L152" i="289"/>
  <c r="K152" i="289"/>
  <c r="J152" i="289"/>
  <c r="I152" i="289"/>
  <c r="H152" i="289"/>
  <c r="G152" i="289"/>
  <c r="F152" i="289"/>
  <c r="E152" i="289"/>
  <c r="D152" i="289"/>
  <c r="Z151" i="289"/>
  <c r="Y151" i="289"/>
  <c r="X151" i="289"/>
  <c r="W151" i="289"/>
  <c r="V151" i="289"/>
  <c r="U151" i="289"/>
  <c r="T151" i="289"/>
  <c r="S151" i="289"/>
  <c r="R151" i="289"/>
  <c r="Q151" i="289"/>
  <c r="P151" i="289"/>
  <c r="O151" i="289"/>
  <c r="N151" i="289"/>
  <c r="M151" i="289"/>
  <c r="L151" i="289"/>
  <c r="K151" i="289"/>
  <c r="J151" i="289"/>
  <c r="I151" i="289"/>
  <c r="H151" i="289"/>
  <c r="G151" i="289"/>
  <c r="F151" i="289"/>
  <c r="E151" i="289"/>
  <c r="D151" i="289"/>
  <c r="Z150" i="289"/>
  <c r="Y150" i="289"/>
  <c r="X150" i="289"/>
  <c r="W150" i="289"/>
  <c r="V150" i="289"/>
  <c r="U150" i="289"/>
  <c r="T150" i="289"/>
  <c r="S150" i="289"/>
  <c r="R150" i="289"/>
  <c r="Q150" i="289"/>
  <c r="P150" i="289"/>
  <c r="O150" i="289"/>
  <c r="N150" i="289"/>
  <c r="M150" i="289"/>
  <c r="L150" i="289"/>
  <c r="K150" i="289"/>
  <c r="J150" i="289"/>
  <c r="I150" i="289"/>
  <c r="H150" i="289"/>
  <c r="G150" i="289"/>
  <c r="F150" i="289"/>
  <c r="E150" i="289"/>
  <c r="D150" i="289"/>
  <c r="Z149" i="289"/>
  <c r="Y149" i="289"/>
  <c r="X149" i="289"/>
  <c r="W149" i="289"/>
  <c r="V149" i="289"/>
  <c r="U149" i="289"/>
  <c r="T149" i="289"/>
  <c r="S149" i="289"/>
  <c r="R149" i="289"/>
  <c r="Q149" i="289"/>
  <c r="P149" i="289"/>
  <c r="O149" i="289"/>
  <c r="N149" i="289"/>
  <c r="M149" i="289"/>
  <c r="L149" i="289"/>
  <c r="K149" i="289"/>
  <c r="J149" i="289"/>
  <c r="I149" i="289"/>
  <c r="H149" i="289"/>
  <c r="G149" i="289"/>
  <c r="F149" i="289"/>
  <c r="E149" i="289"/>
  <c r="D149" i="289"/>
  <c r="Z148" i="289"/>
  <c r="Y148" i="289"/>
  <c r="X148" i="289"/>
  <c r="W148" i="289"/>
  <c r="V148" i="289"/>
  <c r="U148" i="289"/>
  <c r="T148" i="289"/>
  <c r="S148" i="289"/>
  <c r="R148" i="289"/>
  <c r="Q148" i="289"/>
  <c r="P148" i="289"/>
  <c r="O148" i="289"/>
  <c r="N148" i="289"/>
  <c r="M148" i="289"/>
  <c r="L148" i="289"/>
  <c r="K148" i="289"/>
  <c r="J148" i="289"/>
  <c r="I148" i="289"/>
  <c r="H148" i="289"/>
  <c r="G148" i="289"/>
  <c r="F148" i="289"/>
  <c r="E148" i="289"/>
  <c r="D148" i="289"/>
  <c r="Z147" i="289"/>
  <c r="Y147" i="289"/>
  <c r="X147" i="289"/>
  <c r="W147" i="289"/>
  <c r="V147" i="289"/>
  <c r="U147" i="289"/>
  <c r="T147" i="289"/>
  <c r="S147" i="289"/>
  <c r="R147" i="289"/>
  <c r="Q147" i="289"/>
  <c r="P147" i="289"/>
  <c r="O147" i="289"/>
  <c r="N147" i="289"/>
  <c r="M147" i="289"/>
  <c r="L147" i="289"/>
  <c r="K147" i="289"/>
  <c r="J147" i="289"/>
  <c r="I147" i="289"/>
  <c r="H147" i="289"/>
  <c r="G147" i="289"/>
  <c r="F147" i="289"/>
  <c r="E147" i="289"/>
  <c r="D147" i="289"/>
  <c r="Z146" i="289"/>
  <c r="Y146" i="289"/>
  <c r="X146" i="289"/>
  <c r="W146" i="289"/>
  <c r="V146" i="289"/>
  <c r="U146" i="289"/>
  <c r="T146" i="289"/>
  <c r="S146" i="289"/>
  <c r="R146" i="289"/>
  <c r="Q146" i="289"/>
  <c r="P146" i="289"/>
  <c r="O146" i="289"/>
  <c r="N146" i="289"/>
  <c r="M146" i="289"/>
  <c r="L146" i="289"/>
  <c r="K146" i="289"/>
  <c r="J146" i="289"/>
  <c r="I146" i="289"/>
  <c r="H146" i="289"/>
  <c r="G146" i="289"/>
  <c r="F146" i="289"/>
  <c r="E146" i="289"/>
  <c r="D146" i="289"/>
  <c r="Z145" i="289"/>
  <c r="Y145" i="289"/>
  <c r="X145" i="289"/>
  <c r="W145" i="289"/>
  <c r="V145" i="289"/>
  <c r="U145" i="289"/>
  <c r="T145" i="289"/>
  <c r="S145" i="289"/>
  <c r="R145" i="289"/>
  <c r="Q145" i="289"/>
  <c r="P145" i="289"/>
  <c r="O145" i="289"/>
  <c r="N145" i="289"/>
  <c r="M145" i="289"/>
  <c r="L145" i="289"/>
  <c r="K145" i="289"/>
  <c r="J145" i="289"/>
  <c r="I145" i="289"/>
  <c r="H145" i="289"/>
  <c r="G145" i="289"/>
  <c r="F145" i="289"/>
  <c r="E145" i="289"/>
  <c r="D145" i="289"/>
  <c r="Z144" i="289"/>
  <c r="Y144" i="289"/>
  <c r="X144" i="289"/>
  <c r="W144" i="289"/>
  <c r="V144" i="289"/>
  <c r="U144" i="289"/>
  <c r="T144" i="289"/>
  <c r="S144" i="289"/>
  <c r="R144" i="289"/>
  <c r="Q144" i="289"/>
  <c r="P144" i="289"/>
  <c r="O144" i="289"/>
  <c r="N144" i="289"/>
  <c r="M144" i="289"/>
  <c r="L144" i="289"/>
  <c r="K144" i="289"/>
  <c r="J144" i="289"/>
  <c r="I144" i="289"/>
  <c r="H144" i="289"/>
  <c r="G144" i="289"/>
  <c r="F144" i="289"/>
  <c r="E144" i="289"/>
  <c r="D144" i="289"/>
  <c r="Z143" i="289"/>
  <c r="Y143" i="289"/>
  <c r="X143" i="289"/>
  <c r="W143" i="289"/>
  <c r="V143" i="289"/>
  <c r="U143" i="289"/>
  <c r="T143" i="289"/>
  <c r="S143" i="289"/>
  <c r="R143" i="289"/>
  <c r="Q143" i="289"/>
  <c r="P143" i="289"/>
  <c r="O143" i="289"/>
  <c r="N143" i="289"/>
  <c r="M143" i="289"/>
  <c r="L143" i="289"/>
  <c r="K143" i="289"/>
  <c r="J143" i="289"/>
  <c r="I143" i="289"/>
  <c r="H143" i="289"/>
  <c r="G143" i="289"/>
  <c r="F143" i="289"/>
  <c r="E143" i="289"/>
  <c r="D143" i="289"/>
  <c r="Z142" i="289"/>
  <c r="Y142" i="289"/>
  <c r="X142" i="289"/>
  <c r="W142" i="289"/>
  <c r="V142" i="289"/>
  <c r="U142" i="289"/>
  <c r="T142" i="289"/>
  <c r="S142" i="289"/>
  <c r="R142" i="289"/>
  <c r="Q142" i="289"/>
  <c r="P142" i="289"/>
  <c r="O142" i="289"/>
  <c r="N142" i="289"/>
  <c r="M142" i="289"/>
  <c r="L142" i="289"/>
  <c r="K142" i="289"/>
  <c r="J142" i="289"/>
  <c r="I142" i="289"/>
  <c r="H142" i="289"/>
  <c r="G142" i="289"/>
  <c r="F142" i="289"/>
  <c r="E142" i="289"/>
  <c r="D142" i="289"/>
  <c r="Z141" i="289"/>
  <c r="Y141" i="289"/>
  <c r="X141" i="289"/>
  <c r="W141" i="289"/>
  <c r="V141" i="289"/>
  <c r="U141" i="289"/>
  <c r="T141" i="289"/>
  <c r="S141" i="289"/>
  <c r="R141" i="289"/>
  <c r="Q141" i="289"/>
  <c r="P141" i="289"/>
  <c r="O141" i="289"/>
  <c r="N141" i="289"/>
  <c r="M141" i="289"/>
  <c r="L141" i="289"/>
  <c r="K141" i="289"/>
  <c r="J141" i="289"/>
  <c r="I141" i="289"/>
  <c r="H141" i="289"/>
  <c r="G141" i="289"/>
  <c r="F141" i="289"/>
  <c r="E141" i="289"/>
  <c r="D141" i="289"/>
  <c r="Z140" i="289"/>
  <c r="Y140" i="289"/>
  <c r="X140" i="289"/>
  <c r="W140" i="289"/>
  <c r="V140" i="289"/>
  <c r="U140" i="289"/>
  <c r="T140" i="289"/>
  <c r="S140" i="289"/>
  <c r="R140" i="289"/>
  <c r="Q140" i="289"/>
  <c r="P140" i="289"/>
  <c r="O140" i="289"/>
  <c r="N140" i="289"/>
  <c r="M140" i="289"/>
  <c r="L140" i="289"/>
  <c r="K140" i="289"/>
  <c r="J140" i="289"/>
  <c r="I140" i="289"/>
  <c r="H140" i="289"/>
  <c r="G140" i="289"/>
  <c r="F140" i="289"/>
  <c r="E140" i="289"/>
  <c r="D140" i="289"/>
  <c r="Z139" i="289"/>
  <c r="Y139" i="289"/>
  <c r="X139" i="289"/>
  <c r="W139" i="289"/>
  <c r="V139" i="289"/>
  <c r="U139" i="289"/>
  <c r="T139" i="289"/>
  <c r="S139" i="289"/>
  <c r="R139" i="289"/>
  <c r="Q139" i="289"/>
  <c r="P139" i="289"/>
  <c r="O139" i="289"/>
  <c r="N139" i="289"/>
  <c r="M139" i="289"/>
  <c r="L139" i="289"/>
  <c r="K139" i="289"/>
  <c r="J139" i="289"/>
  <c r="I139" i="289"/>
  <c r="H139" i="289"/>
  <c r="G139" i="289"/>
  <c r="F139" i="289"/>
  <c r="E139" i="289"/>
  <c r="D139" i="289"/>
  <c r="Z138" i="289"/>
  <c r="Y138" i="289"/>
  <c r="X138" i="289"/>
  <c r="W138" i="289"/>
  <c r="V138" i="289"/>
  <c r="U138" i="289"/>
  <c r="T138" i="289"/>
  <c r="S138" i="289"/>
  <c r="R138" i="289"/>
  <c r="Q138" i="289"/>
  <c r="P138" i="289"/>
  <c r="O138" i="289"/>
  <c r="N138" i="289"/>
  <c r="M138" i="289"/>
  <c r="L138" i="289"/>
  <c r="K138" i="289"/>
  <c r="J138" i="289"/>
  <c r="I138" i="289"/>
  <c r="H138" i="289"/>
  <c r="G138" i="289"/>
  <c r="F138" i="289"/>
  <c r="E138" i="289"/>
  <c r="D138" i="289"/>
  <c r="Z137" i="289"/>
  <c r="Y137" i="289"/>
  <c r="X137" i="289"/>
  <c r="W137" i="289"/>
  <c r="V137" i="289"/>
  <c r="U137" i="289"/>
  <c r="T137" i="289"/>
  <c r="S137" i="289"/>
  <c r="R137" i="289"/>
  <c r="Q137" i="289"/>
  <c r="P137" i="289"/>
  <c r="O137" i="289"/>
  <c r="N137" i="289"/>
  <c r="M137" i="289"/>
  <c r="L137" i="289"/>
  <c r="K137" i="289"/>
  <c r="J137" i="289"/>
  <c r="I137" i="289"/>
  <c r="H137" i="289"/>
  <c r="G137" i="289"/>
  <c r="F137" i="289"/>
  <c r="E137" i="289"/>
  <c r="D137" i="289"/>
  <c r="Z136" i="289"/>
  <c r="Y136" i="289"/>
  <c r="X136" i="289"/>
  <c r="W136" i="289"/>
  <c r="V136" i="289"/>
  <c r="U136" i="289"/>
  <c r="T136" i="289"/>
  <c r="S136" i="289"/>
  <c r="R136" i="289"/>
  <c r="Q136" i="289"/>
  <c r="P136" i="289"/>
  <c r="O136" i="289"/>
  <c r="N136" i="289"/>
  <c r="M136" i="289"/>
  <c r="L136" i="289"/>
  <c r="K136" i="289"/>
  <c r="J136" i="289"/>
  <c r="I136" i="289"/>
  <c r="H136" i="289"/>
  <c r="G136" i="289"/>
  <c r="F136" i="289"/>
  <c r="E136" i="289"/>
  <c r="D136" i="289"/>
  <c r="Z135" i="289"/>
  <c r="Y135" i="289"/>
  <c r="X135" i="289"/>
  <c r="W135" i="289"/>
  <c r="V135" i="289"/>
  <c r="U135" i="289"/>
  <c r="T135" i="289"/>
  <c r="S135" i="289"/>
  <c r="R135" i="289"/>
  <c r="Q135" i="289"/>
  <c r="P135" i="289"/>
  <c r="O135" i="289"/>
  <c r="N135" i="289"/>
  <c r="M135" i="289"/>
  <c r="L135" i="289"/>
  <c r="K135" i="289"/>
  <c r="J135" i="289"/>
  <c r="I135" i="289"/>
  <c r="H135" i="289"/>
  <c r="G135" i="289"/>
  <c r="F135" i="289"/>
  <c r="E135" i="289"/>
  <c r="D135" i="289"/>
  <c r="Z134" i="289"/>
  <c r="Y134" i="289"/>
  <c r="X134" i="289"/>
  <c r="W134" i="289"/>
  <c r="V134" i="289"/>
  <c r="U134" i="289"/>
  <c r="T134" i="289"/>
  <c r="S134" i="289"/>
  <c r="R134" i="289"/>
  <c r="Q134" i="289"/>
  <c r="P134" i="289"/>
  <c r="O134" i="289"/>
  <c r="N134" i="289"/>
  <c r="M134" i="289"/>
  <c r="L134" i="289"/>
  <c r="K134" i="289"/>
  <c r="J134" i="289"/>
  <c r="I134" i="289"/>
  <c r="H134" i="289"/>
  <c r="G134" i="289"/>
  <c r="F134" i="289"/>
  <c r="E134" i="289"/>
  <c r="D134" i="289"/>
  <c r="Z133" i="289"/>
  <c r="Y133" i="289"/>
  <c r="X133" i="289"/>
  <c r="W133" i="289"/>
  <c r="V133" i="289"/>
  <c r="U133" i="289"/>
  <c r="T133" i="289"/>
  <c r="S133" i="289"/>
  <c r="R133" i="289"/>
  <c r="Q133" i="289"/>
  <c r="P133" i="289"/>
  <c r="O133" i="289"/>
  <c r="N133" i="289"/>
  <c r="M133" i="289"/>
  <c r="L133" i="289"/>
  <c r="K133" i="289"/>
  <c r="J133" i="289"/>
  <c r="I133" i="289"/>
  <c r="H133" i="289"/>
  <c r="G133" i="289"/>
  <c r="F133" i="289"/>
  <c r="E133" i="289"/>
  <c r="D133" i="289"/>
  <c r="Z132" i="289"/>
  <c r="Y132" i="289"/>
  <c r="X132" i="289"/>
  <c r="W132" i="289"/>
  <c r="V132" i="289"/>
  <c r="U132" i="289"/>
  <c r="T132" i="289"/>
  <c r="S132" i="289"/>
  <c r="R132" i="289"/>
  <c r="Q132" i="289"/>
  <c r="P132" i="289"/>
  <c r="O132" i="289"/>
  <c r="N132" i="289"/>
  <c r="M132" i="289"/>
  <c r="L132" i="289"/>
  <c r="K132" i="289"/>
  <c r="J132" i="289"/>
  <c r="I132" i="289"/>
  <c r="H132" i="289"/>
  <c r="G132" i="289"/>
  <c r="F132" i="289"/>
  <c r="E132" i="289"/>
  <c r="D132" i="289"/>
  <c r="Z131" i="289"/>
  <c r="Y131" i="289"/>
  <c r="X131" i="289"/>
  <c r="W131" i="289"/>
  <c r="V131" i="289"/>
  <c r="U131" i="289"/>
  <c r="T131" i="289"/>
  <c r="S131" i="289"/>
  <c r="R131" i="289"/>
  <c r="Q131" i="289"/>
  <c r="P131" i="289"/>
  <c r="O131" i="289"/>
  <c r="N131" i="289"/>
  <c r="M131" i="289"/>
  <c r="L131" i="289"/>
  <c r="K131" i="289"/>
  <c r="J131" i="289"/>
  <c r="I131" i="289"/>
  <c r="H131" i="289"/>
  <c r="G131" i="289"/>
  <c r="F131" i="289"/>
  <c r="E131" i="289"/>
  <c r="D131" i="289"/>
  <c r="Z130" i="289"/>
  <c r="Y130" i="289"/>
  <c r="X130" i="289"/>
  <c r="W130" i="289"/>
  <c r="V130" i="289"/>
  <c r="U130" i="289"/>
  <c r="T130" i="289"/>
  <c r="S130" i="289"/>
  <c r="R130" i="289"/>
  <c r="Q130" i="289"/>
  <c r="P130" i="289"/>
  <c r="O130" i="289"/>
  <c r="N130" i="289"/>
  <c r="M130" i="289"/>
  <c r="L130" i="289"/>
  <c r="K130" i="289"/>
  <c r="J130" i="289"/>
  <c r="I130" i="289"/>
  <c r="H130" i="289"/>
  <c r="G130" i="289"/>
  <c r="F130" i="289"/>
  <c r="E130" i="289"/>
  <c r="D130" i="289"/>
  <c r="Z129" i="289"/>
  <c r="Y129" i="289"/>
  <c r="X129" i="289"/>
  <c r="W129" i="289"/>
  <c r="V129" i="289"/>
  <c r="U129" i="289"/>
  <c r="T129" i="289"/>
  <c r="S129" i="289"/>
  <c r="R129" i="289"/>
  <c r="Q129" i="289"/>
  <c r="P129" i="289"/>
  <c r="O129" i="289"/>
  <c r="N129" i="289"/>
  <c r="M129" i="289"/>
  <c r="L129" i="289"/>
  <c r="K129" i="289"/>
  <c r="J129" i="289"/>
  <c r="I129" i="289"/>
  <c r="H129" i="289"/>
  <c r="G129" i="289"/>
  <c r="F129" i="289"/>
  <c r="E129" i="289"/>
  <c r="D129" i="289"/>
  <c r="Z128" i="289"/>
  <c r="Y128" i="289"/>
  <c r="X128" i="289"/>
  <c r="W128" i="289"/>
  <c r="V128" i="289"/>
  <c r="U128" i="289"/>
  <c r="T128" i="289"/>
  <c r="S128" i="289"/>
  <c r="R128" i="289"/>
  <c r="Q128" i="289"/>
  <c r="P128" i="289"/>
  <c r="O128" i="289"/>
  <c r="N128" i="289"/>
  <c r="M128" i="289"/>
  <c r="L128" i="289"/>
  <c r="K128" i="289"/>
  <c r="J128" i="289"/>
  <c r="I128" i="289"/>
  <c r="H128" i="289"/>
  <c r="G128" i="289"/>
  <c r="F128" i="289"/>
  <c r="E128" i="289"/>
  <c r="D128" i="289"/>
  <c r="Z127" i="289"/>
  <c r="Y127" i="289"/>
  <c r="X127" i="289"/>
  <c r="W127" i="289"/>
  <c r="V127" i="289"/>
  <c r="U127" i="289"/>
  <c r="T127" i="289"/>
  <c r="S127" i="289"/>
  <c r="R127" i="289"/>
  <c r="Q127" i="289"/>
  <c r="P127" i="289"/>
  <c r="O127" i="289"/>
  <c r="N127" i="289"/>
  <c r="M127" i="289"/>
  <c r="L127" i="289"/>
  <c r="K127" i="289"/>
  <c r="J127" i="289"/>
  <c r="I127" i="289"/>
  <c r="H127" i="289"/>
  <c r="G127" i="289"/>
  <c r="F127" i="289"/>
  <c r="E127" i="289"/>
  <c r="D127" i="289"/>
  <c r="Z126" i="289"/>
  <c r="Y126" i="289"/>
  <c r="X126" i="289"/>
  <c r="W126" i="289"/>
  <c r="V126" i="289"/>
  <c r="U126" i="289"/>
  <c r="T126" i="289"/>
  <c r="S126" i="289"/>
  <c r="R126" i="289"/>
  <c r="Q126" i="289"/>
  <c r="P126" i="289"/>
  <c r="O126" i="289"/>
  <c r="N126" i="289"/>
  <c r="M126" i="289"/>
  <c r="L126" i="289"/>
  <c r="K126" i="289"/>
  <c r="J126" i="289"/>
  <c r="I126" i="289"/>
  <c r="H126" i="289"/>
  <c r="G126" i="289"/>
  <c r="F126" i="289"/>
  <c r="E126" i="289"/>
  <c r="D126" i="289"/>
  <c r="Z125" i="289"/>
  <c r="Y125" i="289"/>
  <c r="X125" i="289"/>
  <c r="W125" i="289"/>
  <c r="V125" i="289"/>
  <c r="U125" i="289"/>
  <c r="T125" i="289"/>
  <c r="S125" i="289"/>
  <c r="R125" i="289"/>
  <c r="Q125" i="289"/>
  <c r="P125" i="289"/>
  <c r="O125" i="289"/>
  <c r="N125" i="289"/>
  <c r="M125" i="289"/>
  <c r="L125" i="289"/>
  <c r="K125" i="289"/>
  <c r="J125" i="289"/>
  <c r="I125" i="289"/>
  <c r="H125" i="289"/>
  <c r="G125" i="289"/>
  <c r="F125" i="289"/>
  <c r="E125" i="289"/>
  <c r="D125" i="289"/>
  <c r="Z124" i="289"/>
  <c r="Y124" i="289"/>
  <c r="X124" i="289"/>
  <c r="W124" i="289"/>
  <c r="V124" i="289"/>
  <c r="U124" i="289"/>
  <c r="T124" i="289"/>
  <c r="S124" i="289"/>
  <c r="R124" i="289"/>
  <c r="Q124" i="289"/>
  <c r="P124" i="289"/>
  <c r="O124" i="289"/>
  <c r="N124" i="289"/>
  <c r="M124" i="289"/>
  <c r="L124" i="289"/>
  <c r="K124" i="289"/>
  <c r="J124" i="289"/>
  <c r="I124" i="289"/>
  <c r="H124" i="289"/>
  <c r="G124" i="289"/>
  <c r="F124" i="289"/>
  <c r="E124" i="289"/>
  <c r="D124" i="289"/>
  <c r="Z123" i="289"/>
  <c r="Y123" i="289"/>
  <c r="X123" i="289"/>
  <c r="W123" i="289"/>
  <c r="V123" i="289"/>
  <c r="U123" i="289"/>
  <c r="T123" i="289"/>
  <c r="S123" i="289"/>
  <c r="R123" i="289"/>
  <c r="Q123" i="289"/>
  <c r="P123" i="289"/>
  <c r="O123" i="289"/>
  <c r="N123" i="289"/>
  <c r="M123" i="289"/>
  <c r="L123" i="289"/>
  <c r="K123" i="289"/>
  <c r="J123" i="289"/>
  <c r="I123" i="289"/>
  <c r="H123" i="289"/>
  <c r="G123" i="289"/>
  <c r="F123" i="289"/>
  <c r="E123" i="289"/>
  <c r="D123" i="289"/>
  <c r="Z122" i="289"/>
  <c r="Y122" i="289"/>
  <c r="X122" i="289"/>
  <c r="W122" i="289"/>
  <c r="V122" i="289"/>
  <c r="U122" i="289"/>
  <c r="T122" i="289"/>
  <c r="S122" i="289"/>
  <c r="R122" i="289"/>
  <c r="Q122" i="289"/>
  <c r="P122" i="289"/>
  <c r="O122" i="289"/>
  <c r="N122" i="289"/>
  <c r="M122" i="289"/>
  <c r="L122" i="289"/>
  <c r="K122" i="289"/>
  <c r="J122" i="289"/>
  <c r="I122" i="289"/>
  <c r="H122" i="289"/>
  <c r="G122" i="289"/>
  <c r="F122" i="289"/>
  <c r="E122" i="289"/>
  <c r="D122" i="289"/>
  <c r="Z121" i="289"/>
  <c r="Y121" i="289"/>
  <c r="X121" i="289"/>
  <c r="W121" i="289"/>
  <c r="V121" i="289"/>
  <c r="U121" i="289"/>
  <c r="T121" i="289"/>
  <c r="S121" i="289"/>
  <c r="R121" i="289"/>
  <c r="Q121" i="289"/>
  <c r="P121" i="289"/>
  <c r="O121" i="289"/>
  <c r="N121" i="289"/>
  <c r="M121" i="289"/>
  <c r="L121" i="289"/>
  <c r="K121" i="289"/>
  <c r="J121" i="289"/>
  <c r="I121" i="289"/>
  <c r="H121" i="289"/>
  <c r="G121" i="289"/>
  <c r="F121" i="289"/>
  <c r="E121" i="289"/>
  <c r="D121" i="289"/>
  <c r="Z120" i="289"/>
  <c r="Y120" i="289"/>
  <c r="X120" i="289"/>
  <c r="W120" i="289"/>
  <c r="V120" i="289"/>
  <c r="U120" i="289"/>
  <c r="T120" i="289"/>
  <c r="S120" i="289"/>
  <c r="R120" i="289"/>
  <c r="Q120" i="289"/>
  <c r="P120" i="289"/>
  <c r="O120" i="289"/>
  <c r="N120" i="289"/>
  <c r="M120" i="289"/>
  <c r="L120" i="289"/>
  <c r="K120" i="289"/>
  <c r="J120" i="289"/>
  <c r="I120" i="289"/>
  <c r="H120" i="289"/>
  <c r="G120" i="289"/>
  <c r="F120" i="289"/>
  <c r="E120" i="289"/>
  <c r="D120" i="289"/>
  <c r="Z119" i="289"/>
  <c r="Y119" i="289"/>
  <c r="X119" i="289"/>
  <c r="W119" i="289"/>
  <c r="V119" i="289"/>
  <c r="U119" i="289"/>
  <c r="T119" i="289"/>
  <c r="S119" i="289"/>
  <c r="R119" i="289"/>
  <c r="Q119" i="289"/>
  <c r="P119" i="289"/>
  <c r="O119" i="289"/>
  <c r="N119" i="289"/>
  <c r="M119" i="289"/>
  <c r="L119" i="289"/>
  <c r="K119" i="289"/>
  <c r="J119" i="289"/>
  <c r="I119" i="289"/>
  <c r="H119" i="289"/>
  <c r="G119" i="289"/>
  <c r="F119" i="289"/>
  <c r="E119" i="289"/>
  <c r="D119" i="289"/>
  <c r="Z118" i="289"/>
  <c r="Y118" i="289"/>
  <c r="X118" i="289"/>
  <c r="W118" i="289"/>
  <c r="V118" i="289"/>
  <c r="U118" i="289"/>
  <c r="T118" i="289"/>
  <c r="S118" i="289"/>
  <c r="R118" i="289"/>
  <c r="Q118" i="289"/>
  <c r="P118" i="289"/>
  <c r="O118" i="289"/>
  <c r="N118" i="289"/>
  <c r="M118" i="289"/>
  <c r="L118" i="289"/>
  <c r="K118" i="289"/>
  <c r="J118" i="289"/>
  <c r="I118" i="289"/>
  <c r="H118" i="289"/>
  <c r="G118" i="289"/>
  <c r="F118" i="289"/>
  <c r="E118" i="289"/>
  <c r="D118" i="289"/>
  <c r="Z117" i="289"/>
  <c r="Y117" i="289"/>
  <c r="X117" i="289"/>
  <c r="W117" i="289"/>
  <c r="V117" i="289"/>
  <c r="U117" i="289"/>
  <c r="T117" i="289"/>
  <c r="S117" i="289"/>
  <c r="R117" i="289"/>
  <c r="Q117" i="289"/>
  <c r="P117" i="289"/>
  <c r="O117" i="289"/>
  <c r="N117" i="289"/>
  <c r="M117" i="289"/>
  <c r="L117" i="289"/>
  <c r="K117" i="289"/>
  <c r="J117" i="289"/>
  <c r="I117" i="289"/>
  <c r="H117" i="289"/>
  <c r="G117" i="289"/>
  <c r="F117" i="289"/>
  <c r="E117" i="289"/>
  <c r="D117" i="289"/>
  <c r="Z116" i="289"/>
  <c r="Y116" i="289"/>
  <c r="X116" i="289"/>
  <c r="W116" i="289"/>
  <c r="V116" i="289"/>
  <c r="U116" i="289"/>
  <c r="T116" i="289"/>
  <c r="S116" i="289"/>
  <c r="R116" i="289"/>
  <c r="Q116" i="289"/>
  <c r="P116" i="289"/>
  <c r="O116" i="289"/>
  <c r="N116" i="289"/>
  <c r="M116" i="289"/>
  <c r="L116" i="289"/>
  <c r="K116" i="289"/>
  <c r="J116" i="289"/>
  <c r="I116" i="289"/>
  <c r="H116" i="289"/>
  <c r="G116" i="289"/>
  <c r="F116" i="289"/>
  <c r="E116" i="289"/>
  <c r="D116" i="289"/>
  <c r="Z115" i="289"/>
  <c r="Y115" i="289"/>
  <c r="X115" i="289"/>
  <c r="W115" i="289"/>
  <c r="V115" i="289"/>
  <c r="U115" i="289"/>
  <c r="T115" i="289"/>
  <c r="S115" i="289"/>
  <c r="R115" i="289"/>
  <c r="Q115" i="289"/>
  <c r="P115" i="289"/>
  <c r="O115" i="289"/>
  <c r="N115" i="289"/>
  <c r="M115" i="289"/>
  <c r="L115" i="289"/>
  <c r="K115" i="289"/>
  <c r="J115" i="289"/>
  <c r="I115" i="289"/>
  <c r="H115" i="289"/>
  <c r="G115" i="289"/>
  <c r="F115" i="289"/>
  <c r="E115" i="289"/>
  <c r="D115" i="289"/>
  <c r="Z114" i="289"/>
  <c r="Y114" i="289"/>
  <c r="X114" i="289"/>
  <c r="W114" i="289"/>
  <c r="V114" i="289"/>
  <c r="U114" i="289"/>
  <c r="T114" i="289"/>
  <c r="S114" i="289"/>
  <c r="R114" i="289"/>
  <c r="Q114" i="289"/>
  <c r="P114" i="289"/>
  <c r="O114" i="289"/>
  <c r="N114" i="289"/>
  <c r="M114" i="289"/>
  <c r="L114" i="289"/>
  <c r="K114" i="289"/>
  <c r="J114" i="289"/>
  <c r="I114" i="289"/>
  <c r="H114" i="289"/>
  <c r="G114" i="289"/>
  <c r="F114" i="289"/>
  <c r="E114" i="289"/>
  <c r="D114" i="289"/>
  <c r="Z113" i="289"/>
  <c r="Y113" i="289"/>
  <c r="X113" i="289"/>
  <c r="W113" i="289"/>
  <c r="V113" i="289"/>
  <c r="U113" i="289"/>
  <c r="T113" i="289"/>
  <c r="S113" i="289"/>
  <c r="R113" i="289"/>
  <c r="Q113" i="289"/>
  <c r="P113" i="289"/>
  <c r="O113" i="289"/>
  <c r="N113" i="289"/>
  <c r="M113" i="289"/>
  <c r="L113" i="289"/>
  <c r="K113" i="289"/>
  <c r="J113" i="289"/>
  <c r="I113" i="289"/>
  <c r="H113" i="289"/>
  <c r="G113" i="289"/>
  <c r="F113" i="289"/>
  <c r="E113" i="289"/>
  <c r="D113" i="289"/>
  <c r="Z112" i="289"/>
  <c r="Y112" i="289"/>
  <c r="X112" i="289"/>
  <c r="W112" i="289"/>
  <c r="V112" i="289"/>
  <c r="U112" i="289"/>
  <c r="T112" i="289"/>
  <c r="S112" i="289"/>
  <c r="R112" i="289"/>
  <c r="Q112" i="289"/>
  <c r="P112" i="289"/>
  <c r="O112" i="289"/>
  <c r="N112" i="289"/>
  <c r="M112" i="289"/>
  <c r="L112" i="289"/>
  <c r="K112" i="289"/>
  <c r="J112" i="289"/>
  <c r="I112" i="289"/>
  <c r="H112" i="289"/>
  <c r="G112" i="289"/>
  <c r="F112" i="289"/>
  <c r="E112" i="289"/>
  <c r="D112" i="289"/>
  <c r="Z111" i="289"/>
  <c r="Y111" i="289"/>
  <c r="X111" i="289"/>
  <c r="W111" i="289"/>
  <c r="V111" i="289"/>
  <c r="U111" i="289"/>
  <c r="T111" i="289"/>
  <c r="S111" i="289"/>
  <c r="R111" i="289"/>
  <c r="Q111" i="289"/>
  <c r="P111" i="289"/>
  <c r="O111" i="289"/>
  <c r="N111" i="289"/>
  <c r="M111" i="289"/>
  <c r="L111" i="289"/>
  <c r="K111" i="289"/>
  <c r="J111" i="289"/>
  <c r="I111" i="289"/>
  <c r="H111" i="289"/>
  <c r="G111" i="289"/>
  <c r="F111" i="289"/>
  <c r="E111" i="289"/>
  <c r="D111" i="289"/>
  <c r="Z110" i="289"/>
  <c r="Y110" i="289"/>
  <c r="X110" i="289"/>
  <c r="W110" i="289"/>
  <c r="V110" i="289"/>
  <c r="U110" i="289"/>
  <c r="T110" i="289"/>
  <c r="S110" i="289"/>
  <c r="R110" i="289"/>
  <c r="Q110" i="289"/>
  <c r="P110" i="289"/>
  <c r="O110" i="289"/>
  <c r="N110" i="289"/>
  <c r="M110" i="289"/>
  <c r="L110" i="289"/>
  <c r="K110" i="289"/>
  <c r="J110" i="289"/>
  <c r="I110" i="289"/>
  <c r="H110" i="289"/>
  <c r="G110" i="289"/>
  <c r="F110" i="289"/>
  <c r="E110" i="289"/>
  <c r="D110" i="289"/>
  <c r="Z109" i="289"/>
  <c r="Y109" i="289"/>
  <c r="X109" i="289"/>
  <c r="W109" i="289"/>
  <c r="V109" i="289"/>
  <c r="U109" i="289"/>
  <c r="T109" i="289"/>
  <c r="S109" i="289"/>
  <c r="R109" i="289"/>
  <c r="Q109" i="289"/>
  <c r="P109" i="289"/>
  <c r="O109" i="289"/>
  <c r="N109" i="289"/>
  <c r="M109" i="289"/>
  <c r="L109" i="289"/>
  <c r="K109" i="289"/>
  <c r="J109" i="289"/>
  <c r="I109" i="289"/>
  <c r="H109" i="289"/>
  <c r="G109" i="289"/>
  <c r="F109" i="289"/>
  <c r="E109" i="289"/>
  <c r="D109" i="289"/>
  <c r="Z108" i="289"/>
  <c r="Y108" i="289"/>
  <c r="X108" i="289"/>
  <c r="W108" i="289"/>
  <c r="V108" i="289"/>
  <c r="U108" i="289"/>
  <c r="T108" i="289"/>
  <c r="S108" i="289"/>
  <c r="R108" i="289"/>
  <c r="Q108" i="289"/>
  <c r="P108" i="289"/>
  <c r="O108" i="289"/>
  <c r="N108" i="289"/>
  <c r="M108" i="289"/>
  <c r="L108" i="289"/>
  <c r="K108" i="289"/>
  <c r="J108" i="289"/>
  <c r="I108" i="289"/>
  <c r="H108" i="289"/>
  <c r="G108" i="289"/>
  <c r="F108" i="289"/>
  <c r="E108" i="289"/>
  <c r="D108" i="289"/>
  <c r="Z107" i="289"/>
  <c r="Y107" i="289"/>
  <c r="X107" i="289"/>
  <c r="W107" i="289"/>
  <c r="V107" i="289"/>
  <c r="U107" i="289"/>
  <c r="T107" i="289"/>
  <c r="S107" i="289"/>
  <c r="R107" i="289"/>
  <c r="Q107" i="289"/>
  <c r="P107" i="289"/>
  <c r="O107" i="289"/>
  <c r="N107" i="289"/>
  <c r="M107" i="289"/>
  <c r="L107" i="289"/>
  <c r="K107" i="289"/>
  <c r="J107" i="289"/>
  <c r="I107" i="289"/>
  <c r="H107" i="289"/>
  <c r="G107" i="289"/>
  <c r="F107" i="289"/>
  <c r="E107" i="289"/>
  <c r="D107" i="289"/>
  <c r="Z106" i="289"/>
  <c r="Y106" i="289"/>
  <c r="X106" i="289"/>
  <c r="W106" i="289"/>
  <c r="V106" i="289"/>
  <c r="U106" i="289"/>
  <c r="T106" i="289"/>
  <c r="S106" i="289"/>
  <c r="R106" i="289"/>
  <c r="Q106" i="289"/>
  <c r="P106" i="289"/>
  <c r="O106" i="289"/>
  <c r="N106" i="289"/>
  <c r="M106" i="289"/>
  <c r="L106" i="289"/>
  <c r="K106" i="289"/>
  <c r="J106" i="289"/>
  <c r="I106" i="289"/>
  <c r="H106" i="289"/>
  <c r="G106" i="289"/>
  <c r="F106" i="289"/>
  <c r="E106" i="289"/>
  <c r="D106" i="289"/>
  <c r="Z105" i="289"/>
  <c r="Y105" i="289"/>
  <c r="X105" i="289"/>
  <c r="W105" i="289"/>
  <c r="V105" i="289"/>
  <c r="U105" i="289"/>
  <c r="T105" i="289"/>
  <c r="S105" i="289"/>
  <c r="R105" i="289"/>
  <c r="Q105" i="289"/>
  <c r="P105" i="289"/>
  <c r="O105" i="289"/>
  <c r="N105" i="289"/>
  <c r="M105" i="289"/>
  <c r="L105" i="289"/>
  <c r="K105" i="289"/>
  <c r="J105" i="289"/>
  <c r="I105" i="289"/>
  <c r="H105" i="289"/>
  <c r="G105" i="289"/>
  <c r="F105" i="289"/>
  <c r="E105" i="289"/>
  <c r="D105" i="289"/>
  <c r="Z104" i="289"/>
  <c r="Y104" i="289"/>
  <c r="X104" i="289"/>
  <c r="W104" i="289"/>
  <c r="V104" i="289"/>
  <c r="U104" i="289"/>
  <c r="T104" i="289"/>
  <c r="S104" i="289"/>
  <c r="R104" i="289"/>
  <c r="Q104" i="289"/>
  <c r="P104" i="289"/>
  <c r="O104" i="289"/>
  <c r="N104" i="289"/>
  <c r="M104" i="289"/>
  <c r="L104" i="289"/>
  <c r="K104" i="289"/>
  <c r="J104" i="289"/>
  <c r="I104" i="289"/>
  <c r="H104" i="289"/>
  <c r="G104" i="289"/>
  <c r="F104" i="289"/>
  <c r="E104" i="289"/>
  <c r="D104" i="289"/>
  <c r="Z103" i="289"/>
  <c r="Y103" i="289"/>
  <c r="X103" i="289"/>
  <c r="W103" i="289"/>
  <c r="V103" i="289"/>
  <c r="U103" i="289"/>
  <c r="T103" i="289"/>
  <c r="S103" i="289"/>
  <c r="R103" i="289"/>
  <c r="Q103" i="289"/>
  <c r="P103" i="289"/>
  <c r="O103" i="289"/>
  <c r="N103" i="289"/>
  <c r="M103" i="289"/>
  <c r="L103" i="289"/>
  <c r="K103" i="289"/>
  <c r="J103" i="289"/>
  <c r="I103" i="289"/>
  <c r="H103" i="289"/>
  <c r="G103" i="289"/>
  <c r="F103" i="289"/>
  <c r="E103" i="289"/>
  <c r="D103" i="289"/>
  <c r="Z102" i="289"/>
  <c r="Y102" i="289"/>
  <c r="X102" i="289"/>
  <c r="W102" i="289"/>
  <c r="V102" i="289"/>
  <c r="U102" i="289"/>
  <c r="T102" i="289"/>
  <c r="S102" i="289"/>
  <c r="R102" i="289"/>
  <c r="Q102" i="289"/>
  <c r="P102" i="289"/>
  <c r="O102" i="289"/>
  <c r="N102" i="289"/>
  <c r="M102" i="289"/>
  <c r="L102" i="289"/>
  <c r="K102" i="289"/>
  <c r="J102" i="289"/>
  <c r="I102" i="289"/>
  <c r="H102" i="289"/>
  <c r="G102" i="289"/>
  <c r="F102" i="289"/>
  <c r="E102" i="289"/>
  <c r="D102" i="289"/>
  <c r="Z101" i="289"/>
  <c r="Y101" i="289"/>
  <c r="X101" i="289"/>
  <c r="W101" i="289"/>
  <c r="V101" i="289"/>
  <c r="U101" i="289"/>
  <c r="T101" i="289"/>
  <c r="S101" i="289"/>
  <c r="R101" i="289"/>
  <c r="Q101" i="289"/>
  <c r="P101" i="289"/>
  <c r="O101" i="289"/>
  <c r="N101" i="289"/>
  <c r="M101" i="289"/>
  <c r="L101" i="289"/>
  <c r="K101" i="289"/>
  <c r="J101" i="289"/>
  <c r="I101" i="289"/>
  <c r="H101" i="289"/>
  <c r="G101" i="289"/>
  <c r="F101" i="289"/>
  <c r="E101" i="289"/>
  <c r="D101" i="289"/>
  <c r="Z100" i="289"/>
  <c r="Y100" i="289"/>
  <c r="X100" i="289"/>
  <c r="W100" i="289"/>
  <c r="V100" i="289"/>
  <c r="U100" i="289"/>
  <c r="T100" i="289"/>
  <c r="S100" i="289"/>
  <c r="R100" i="289"/>
  <c r="Q100" i="289"/>
  <c r="P100" i="289"/>
  <c r="O100" i="289"/>
  <c r="N100" i="289"/>
  <c r="M100" i="289"/>
  <c r="L100" i="289"/>
  <c r="K100" i="289"/>
  <c r="J100" i="289"/>
  <c r="I100" i="289"/>
  <c r="H100" i="289"/>
  <c r="G100" i="289"/>
  <c r="F100" i="289"/>
  <c r="E100" i="289"/>
  <c r="D100" i="289"/>
  <c r="Z99" i="289"/>
  <c r="Y99" i="289"/>
  <c r="X99" i="289"/>
  <c r="W99" i="289"/>
  <c r="V99" i="289"/>
  <c r="U99" i="289"/>
  <c r="T99" i="289"/>
  <c r="S99" i="289"/>
  <c r="R99" i="289"/>
  <c r="Q99" i="289"/>
  <c r="P99" i="289"/>
  <c r="O99" i="289"/>
  <c r="N99" i="289"/>
  <c r="M99" i="289"/>
  <c r="L99" i="289"/>
  <c r="K99" i="289"/>
  <c r="J99" i="289"/>
  <c r="I99" i="289"/>
  <c r="H99" i="289"/>
  <c r="G99" i="289"/>
  <c r="F99" i="289"/>
  <c r="E99" i="289"/>
  <c r="D99" i="289"/>
  <c r="Z98" i="289"/>
  <c r="Y98" i="289"/>
  <c r="X98" i="289"/>
  <c r="W98" i="289"/>
  <c r="V98" i="289"/>
  <c r="U98" i="289"/>
  <c r="T98" i="289"/>
  <c r="S98" i="289"/>
  <c r="R98" i="289"/>
  <c r="Q98" i="289"/>
  <c r="P98" i="289"/>
  <c r="O98" i="289"/>
  <c r="N98" i="289"/>
  <c r="M98" i="289"/>
  <c r="L98" i="289"/>
  <c r="K98" i="289"/>
  <c r="J98" i="289"/>
  <c r="I98" i="289"/>
  <c r="H98" i="289"/>
  <c r="G98" i="289"/>
  <c r="F98" i="289"/>
  <c r="E98" i="289"/>
  <c r="D98" i="289"/>
  <c r="Z97" i="289"/>
  <c r="Y97" i="289"/>
  <c r="X97" i="289"/>
  <c r="W97" i="289"/>
  <c r="V97" i="289"/>
  <c r="U97" i="289"/>
  <c r="T97" i="289"/>
  <c r="S97" i="289"/>
  <c r="R97" i="289"/>
  <c r="Q97" i="289"/>
  <c r="P97" i="289"/>
  <c r="O97" i="289"/>
  <c r="N97" i="289"/>
  <c r="M97" i="289"/>
  <c r="L97" i="289"/>
  <c r="K97" i="289"/>
  <c r="J97" i="289"/>
  <c r="I97" i="289"/>
  <c r="H97" i="289"/>
  <c r="G97" i="289"/>
  <c r="F97" i="289"/>
  <c r="E97" i="289"/>
  <c r="D97" i="289"/>
  <c r="Z96" i="289"/>
  <c r="Y96" i="289"/>
  <c r="X96" i="289"/>
  <c r="W96" i="289"/>
  <c r="V96" i="289"/>
  <c r="U96" i="289"/>
  <c r="T96" i="289"/>
  <c r="S96" i="289"/>
  <c r="R96" i="289"/>
  <c r="Q96" i="289"/>
  <c r="P96" i="289"/>
  <c r="O96" i="289"/>
  <c r="N96" i="289"/>
  <c r="M96" i="289"/>
  <c r="L96" i="289"/>
  <c r="K96" i="289"/>
  <c r="J96" i="289"/>
  <c r="I96" i="289"/>
  <c r="H96" i="289"/>
  <c r="G96" i="289"/>
  <c r="F96" i="289"/>
  <c r="E96" i="289"/>
  <c r="D96" i="289"/>
  <c r="Z95" i="289"/>
  <c r="Y95" i="289"/>
  <c r="X95" i="289"/>
  <c r="W95" i="289"/>
  <c r="V95" i="289"/>
  <c r="U95" i="289"/>
  <c r="T95" i="289"/>
  <c r="S95" i="289"/>
  <c r="R95" i="289"/>
  <c r="Q95" i="289"/>
  <c r="P95" i="289"/>
  <c r="O95" i="289"/>
  <c r="N95" i="289"/>
  <c r="M95" i="289"/>
  <c r="L95" i="289"/>
  <c r="K95" i="289"/>
  <c r="J95" i="289"/>
  <c r="I95" i="289"/>
  <c r="H95" i="289"/>
  <c r="G95" i="289"/>
  <c r="F95" i="289"/>
  <c r="E95" i="289"/>
  <c r="D95" i="289"/>
  <c r="Z94" i="289"/>
  <c r="Y94" i="289"/>
  <c r="X94" i="289"/>
  <c r="W94" i="289"/>
  <c r="V94" i="289"/>
  <c r="U94" i="289"/>
  <c r="T94" i="289"/>
  <c r="S94" i="289"/>
  <c r="R94" i="289"/>
  <c r="Q94" i="289"/>
  <c r="P94" i="289"/>
  <c r="O94" i="289"/>
  <c r="N94" i="289"/>
  <c r="M94" i="289"/>
  <c r="L94" i="289"/>
  <c r="K94" i="289"/>
  <c r="J94" i="289"/>
  <c r="I94" i="289"/>
  <c r="H94" i="289"/>
  <c r="G94" i="289"/>
  <c r="F94" i="289"/>
  <c r="E94" i="289"/>
  <c r="D94" i="289"/>
  <c r="Z93" i="289"/>
  <c r="Y93" i="289"/>
  <c r="X93" i="289"/>
  <c r="W93" i="289"/>
  <c r="V93" i="289"/>
  <c r="U93" i="289"/>
  <c r="T93" i="289"/>
  <c r="S93" i="289"/>
  <c r="R93" i="289"/>
  <c r="Q93" i="289"/>
  <c r="P93" i="289"/>
  <c r="O93" i="289"/>
  <c r="N93" i="289"/>
  <c r="M93" i="289"/>
  <c r="L93" i="289"/>
  <c r="K93" i="289"/>
  <c r="J93" i="289"/>
  <c r="I93" i="289"/>
  <c r="H93" i="289"/>
  <c r="G93" i="289"/>
  <c r="F93" i="289"/>
  <c r="E93" i="289"/>
  <c r="D93" i="289"/>
  <c r="Z92" i="289"/>
  <c r="Y92" i="289"/>
  <c r="X92" i="289"/>
  <c r="W92" i="289"/>
  <c r="V92" i="289"/>
  <c r="U92" i="289"/>
  <c r="T92" i="289"/>
  <c r="S92" i="289"/>
  <c r="R92" i="289"/>
  <c r="Q92" i="289"/>
  <c r="P92" i="289"/>
  <c r="O92" i="289"/>
  <c r="N92" i="289"/>
  <c r="M92" i="289"/>
  <c r="L92" i="289"/>
  <c r="K92" i="289"/>
  <c r="J92" i="289"/>
  <c r="I92" i="289"/>
  <c r="H92" i="289"/>
  <c r="G92" i="289"/>
  <c r="F92" i="289"/>
  <c r="E92" i="289"/>
  <c r="D92" i="289"/>
  <c r="Z91" i="289"/>
  <c r="Y91" i="289"/>
  <c r="X91" i="289"/>
  <c r="W91" i="289"/>
  <c r="V91" i="289"/>
  <c r="U91" i="289"/>
  <c r="T91" i="289"/>
  <c r="S91" i="289"/>
  <c r="R91" i="289"/>
  <c r="Q91" i="289"/>
  <c r="P91" i="289"/>
  <c r="O91" i="289"/>
  <c r="N91" i="289"/>
  <c r="M91" i="289"/>
  <c r="L91" i="289"/>
  <c r="K91" i="289"/>
  <c r="J91" i="289"/>
  <c r="I91" i="289"/>
  <c r="H91" i="289"/>
  <c r="G91" i="289"/>
  <c r="F91" i="289"/>
  <c r="E91" i="289"/>
  <c r="D91" i="289"/>
  <c r="Z90" i="289"/>
  <c r="Y90" i="289"/>
  <c r="X90" i="289"/>
  <c r="W90" i="289"/>
  <c r="V90" i="289"/>
  <c r="U90" i="289"/>
  <c r="T90" i="289"/>
  <c r="S90" i="289"/>
  <c r="R90" i="289"/>
  <c r="Q90" i="289"/>
  <c r="P90" i="289"/>
  <c r="O90" i="289"/>
  <c r="N90" i="289"/>
  <c r="M90" i="289"/>
  <c r="L90" i="289"/>
  <c r="K90" i="289"/>
  <c r="J90" i="289"/>
  <c r="I90" i="289"/>
  <c r="H90" i="289"/>
  <c r="G90" i="289"/>
  <c r="F90" i="289"/>
  <c r="E90" i="289"/>
  <c r="D90" i="289"/>
  <c r="Z89" i="289"/>
  <c r="Y89" i="289"/>
  <c r="X89" i="289"/>
  <c r="W89" i="289"/>
  <c r="V89" i="289"/>
  <c r="U89" i="289"/>
  <c r="T89" i="289"/>
  <c r="S89" i="289"/>
  <c r="R89" i="289"/>
  <c r="Q89" i="289"/>
  <c r="P89" i="289"/>
  <c r="O89" i="289"/>
  <c r="N89" i="289"/>
  <c r="M89" i="289"/>
  <c r="L89" i="289"/>
  <c r="K89" i="289"/>
  <c r="J89" i="289"/>
  <c r="I89" i="289"/>
  <c r="H89" i="289"/>
  <c r="G89" i="289"/>
  <c r="F89" i="289"/>
  <c r="E89" i="289"/>
  <c r="D89" i="289"/>
  <c r="Z88" i="289"/>
  <c r="Y88" i="289"/>
  <c r="X88" i="289"/>
  <c r="W88" i="289"/>
  <c r="V88" i="289"/>
  <c r="U88" i="289"/>
  <c r="T88" i="289"/>
  <c r="S88" i="289"/>
  <c r="R88" i="289"/>
  <c r="Q88" i="289"/>
  <c r="P88" i="289"/>
  <c r="O88" i="289"/>
  <c r="N88" i="289"/>
  <c r="M88" i="289"/>
  <c r="L88" i="289"/>
  <c r="K88" i="289"/>
  <c r="J88" i="289"/>
  <c r="I88" i="289"/>
  <c r="H88" i="289"/>
  <c r="G88" i="289"/>
  <c r="F88" i="289"/>
  <c r="E88" i="289"/>
  <c r="D88" i="289"/>
  <c r="Z87" i="289"/>
  <c r="Y87" i="289"/>
  <c r="X87" i="289"/>
  <c r="W87" i="289"/>
  <c r="V87" i="289"/>
  <c r="U87" i="289"/>
  <c r="T87" i="289"/>
  <c r="S87" i="289"/>
  <c r="R87" i="289"/>
  <c r="Q87" i="289"/>
  <c r="P87" i="289"/>
  <c r="O87" i="289"/>
  <c r="N87" i="289"/>
  <c r="M87" i="289"/>
  <c r="L87" i="289"/>
  <c r="K87" i="289"/>
  <c r="J87" i="289"/>
  <c r="I87" i="289"/>
  <c r="H87" i="289"/>
  <c r="G87" i="289"/>
  <c r="F87" i="289"/>
  <c r="E87" i="289"/>
  <c r="D87" i="289"/>
  <c r="Z86" i="289"/>
  <c r="Y86" i="289"/>
  <c r="X86" i="289"/>
  <c r="W86" i="289"/>
  <c r="V86" i="289"/>
  <c r="U86" i="289"/>
  <c r="T86" i="289"/>
  <c r="S86" i="289"/>
  <c r="R86" i="289"/>
  <c r="Q86" i="289"/>
  <c r="P86" i="289"/>
  <c r="O86" i="289"/>
  <c r="N86" i="289"/>
  <c r="M86" i="289"/>
  <c r="L86" i="289"/>
  <c r="K86" i="289"/>
  <c r="J86" i="289"/>
  <c r="I86" i="289"/>
  <c r="H86" i="289"/>
  <c r="G86" i="289"/>
  <c r="F86" i="289"/>
  <c r="E86" i="289"/>
  <c r="D86" i="289"/>
  <c r="BB74" i="289"/>
  <c r="BA74" i="289"/>
  <c r="AZ74" i="289"/>
  <c r="AY74" i="289"/>
  <c r="AX74" i="289"/>
  <c r="AW74" i="289"/>
  <c r="AV74" i="289"/>
  <c r="AU74" i="289"/>
  <c r="AT74" i="289"/>
  <c r="AS74" i="289"/>
  <c r="AR74" i="289"/>
  <c r="AQ74" i="289"/>
  <c r="AP74" i="289"/>
  <c r="AO74" i="289"/>
  <c r="AN74" i="289"/>
  <c r="AM74" i="289"/>
  <c r="AL74" i="289"/>
  <c r="AK74" i="289"/>
  <c r="AJ74" i="289"/>
  <c r="AI74" i="289"/>
  <c r="AH74" i="289"/>
  <c r="AG74" i="289"/>
  <c r="AF74" i="289"/>
  <c r="BB73" i="289"/>
  <c r="BA73" i="289"/>
  <c r="AZ73" i="289"/>
  <c r="AY73" i="289"/>
  <c r="AX73" i="289"/>
  <c r="AW73" i="289"/>
  <c r="AV73" i="289"/>
  <c r="AU73" i="289"/>
  <c r="AT73" i="289"/>
  <c r="AS73" i="289"/>
  <c r="AR73" i="289"/>
  <c r="AQ73" i="289"/>
  <c r="AP73" i="289"/>
  <c r="AO73" i="289"/>
  <c r="AN73" i="289"/>
  <c r="AM73" i="289"/>
  <c r="AL73" i="289"/>
  <c r="AK73" i="289"/>
  <c r="AJ73" i="289"/>
  <c r="AI73" i="289"/>
  <c r="AH73" i="289"/>
  <c r="AG73" i="289"/>
  <c r="AF73" i="289"/>
  <c r="BB72" i="289"/>
  <c r="BA72" i="289"/>
  <c r="AZ72" i="289"/>
  <c r="AY72" i="289"/>
  <c r="AX72" i="289"/>
  <c r="AW72" i="289"/>
  <c r="AV72" i="289"/>
  <c r="AU72" i="289"/>
  <c r="AT72" i="289"/>
  <c r="AS72" i="289"/>
  <c r="AR72" i="289"/>
  <c r="AQ72" i="289"/>
  <c r="AP72" i="289"/>
  <c r="AO72" i="289"/>
  <c r="AN72" i="289"/>
  <c r="AM72" i="289"/>
  <c r="AL72" i="289"/>
  <c r="AK72" i="289"/>
  <c r="AJ72" i="289"/>
  <c r="AI72" i="289"/>
  <c r="AH72" i="289"/>
  <c r="AG72" i="289"/>
  <c r="AF72" i="289"/>
  <c r="BB71" i="289"/>
  <c r="BA71" i="289"/>
  <c r="AZ71" i="289"/>
  <c r="AY71" i="289"/>
  <c r="AX71" i="289"/>
  <c r="AW71" i="289"/>
  <c r="AV71" i="289"/>
  <c r="AU71" i="289"/>
  <c r="AT71" i="289"/>
  <c r="AS71" i="289"/>
  <c r="AR71" i="289"/>
  <c r="AQ71" i="289"/>
  <c r="AP71" i="289"/>
  <c r="AO71" i="289"/>
  <c r="AN71" i="289"/>
  <c r="AM71" i="289"/>
  <c r="AL71" i="289"/>
  <c r="AK71" i="289"/>
  <c r="AJ71" i="289"/>
  <c r="AI71" i="289"/>
  <c r="AH71" i="289"/>
  <c r="AG71" i="289"/>
  <c r="AF71" i="289"/>
  <c r="BB70" i="289"/>
  <c r="BA70" i="289"/>
  <c r="AZ70" i="289"/>
  <c r="AY70" i="289"/>
  <c r="AX70" i="289"/>
  <c r="AW70" i="289"/>
  <c r="AV70" i="289"/>
  <c r="AU70" i="289"/>
  <c r="AT70" i="289"/>
  <c r="AS70" i="289"/>
  <c r="AR70" i="289"/>
  <c r="AQ70" i="289"/>
  <c r="AP70" i="289"/>
  <c r="AO70" i="289"/>
  <c r="AN70" i="289"/>
  <c r="AM70" i="289"/>
  <c r="AL70" i="289"/>
  <c r="AK70" i="289"/>
  <c r="AJ70" i="289"/>
  <c r="AI70" i="289"/>
  <c r="AH70" i="289"/>
  <c r="AG70" i="289"/>
  <c r="AF70" i="289"/>
  <c r="BB69" i="289"/>
  <c r="BA69" i="289"/>
  <c r="AZ69" i="289"/>
  <c r="AY69" i="289"/>
  <c r="AX69" i="289"/>
  <c r="AW69" i="289"/>
  <c r="AV69" i="289"/>
  <c r="AU69" i="289"/>
  <c r="AT69" i="289"/>
  <c r="AS69" i="289"/>
  <c r="AR69" i="289"/>
  <c r="AQ69" i="289"/>
  <c r="AP69" i="289"/>
  <c r="AO69" i="289"/>
  <c r="AN69" i="289"/>
  <c r="AM69" i="289"/>
  <c r="AL69" i="289"/>
  <c r="AK69" i="289"/>
  <c r="AJ69" i="289"/>
  <c r="AI69" i="289"/>
  <c r="AH69" i="289"/>
  <c r="AG69" i="289"/>
  <c r="AF69" i="289"/>
  <c r="BB68" i="289"/>
  <c r="BA68" i="289"/>
  <c r="AZ68" i="289"/>
  <c r="AY68" i="289"/>
  <c r="AX68" i="289"/>
  <c r="AW68" i="289"/>
  <c r="AV68" i="289"/>
  <c r="AU68" i="289"/>
  <c r="AT68" i="289"/>
  <c r="AS68" i="289"/>
  <c r="AR68" i="289"/>
  <c r="AQ68" i="289"/>
  <c r="AP68" i="289"/>
  <c r="AO68" i="289"/>
  <c r="AN68" i="289"/>
  <c r="AM68" i="289"/>
  <c r="AL68" i="289"/>
  <c r="AK68" i="289"/>
  <c r="AJ68" i="289"/>
  <c r="AI68" i="289"/>
  <c r="AH68" i="289"/>
  <c r="AG68" i="289"/>
  <c r="AF68" i="289"/>
  <c r="BB67" i="289"/>
  <c r="BA67" i="289"/>
  <c r="AZ67" i="289"/>
  <c r="AY67" i="289"/>
  <c r="AX67" i="289"/>
  <c r="AW67" i="289"/>
  <c r="AV67" i="289"/>
  <c r="AU67" i="289"/>
  <c r="AT67" i="289"/>
  <c r="AS67" i="289"/>
  <c r="AR67" i="289"/>
  <c r="AQ67" i="289"/>
  <c r="AP67" i="289"/>
  <c r="AO67" i="289"/>
  <c r="AN67" i="289"/>
  <c r="AM67" i="289"/>
  <c r="AL67" i="289"/>
  <c r="AK67" i="289"/>
  <c r="AJ67" i="289"/>
  <c r="AI67" i="289"/>
  <c r="AH67" i="289"/>
  <c r="AG67" i="289"/>
  <c r="AF67" i="289"/>
  <c r="BB66" i="289"/>
  <c r="BA66" i="289"/>
  <c r="AZ66" i="289"/>
  <c r="AY66" i="289"/>
  <c r="AX66" i="289"/>
  <c r="AW66" i="289"/>
  <c r="AV66" i="289"/>
  <c r="AU66" i="289"/>
  <c r="AT66" i="289"/>
  <c r="AS66" i="289"/>
  <c r="AR66" i="289"/>
  <c r="AQ66" i="289"/>
  <c r="AP66" i="289"/>
  <c r="AO66" i="289"/>
  <c r="AN66" i="289"/>
  <c r="AM66" i="289"/>
  <c r="AL66" i="289"/>
  <c r="AK66" i="289"/>
  <c r="AJ66" i="289"/>
  <c r="AI66" i="289"/>
  <c r="AH66" i="289"/>
  <c r="AG66" i="289"/>
  <c r="AF66" i="289"/>
  <c r="BB65" i="289"/>
  <c r="BA65" i="289"/>
  <c r="AZ65" i="289"/>
  <c r="AY65" i="289"/>
  <c r="AX65" i="289"/>
  <c r="AW65" i="289"/>
  <c r="AV65" i="289"/>
  <c r="AU65" i="289"/>
  <c r="AT65" i="289"/>
  <c r="AS65" i="289"/>
  <c r="AR65" i="289"/>
  <c r="AQ65" i="289"/>
  <c r="AP65" i="289"/>
  <c r="AO65" i="289"/>
  <c r="AN65" i="289"/>
  <c r="AM65" i="289"/>
  <c r="AL65" i="289"/>
  <c r="AK65" i="289"/>
  <c r="AJ65" i="289"/>
  <c r="AI65" i="289"/>
  <c r="AH65" i="289"/>
  <c r="AG65" i="289"/>
  <c r="AF65" i="289"/>
  <c r="BB64" i="289"/>
  <c r="BA64" i="289"/>
  <c r="AZ64" i="289"/>
  <c r="AY64" i="289"/>
  <c r="AX64" i="289"/>
  <c r="AW64" i="289"/>
  <c r="AV64" i="289"/>
  <c r="AU64" i="289"/>
  <c r="AT64" i="289"/>
  <c r="AS64" i="289"/>
  <c r="AR64" i="289"/>
  <c r="AQ64" i="289"/>
  <c r="AP64" i="289"/>
  <c r="AO64" i="289"/>
  <c r="AN64" i="289"/>
  <c r="AM64" i="289"/>
  <c r="AL64" i="289"/>
  <c r="AK64" i="289"/>
  <c r="AJ64" i="289"/>
  <c r="AI64" i="289"/>
  <c r="AH64" i="289"/>
  <c r="AG64" i="289"/>
  <c r="AF64" i="289"/>
  <c r="BB63" i="289"/>
  <c r="BA63" i="289"/>
  <c r="AZ63" i="289"/>
  <c r="AY63" i="289"/>
  <c r="AX63" i="289"/>
  <c r="AW63" i="289"/>
  <c r="AV63" i="289"/>
  <c r="AU63" i="289"/>
  <c r="AT63" i="289"/>
  <c r="AS63" i="289"/>
  <c r="AR63" i="289"/>
  <c r="AQ63" i="289"/>
  <c r="AP63" i="289"/>
  <c r="AO63" i="289"/>
  <c r="AN63" i="289"/>
  <c r="AM63" i="289"/>
  <c r="AL63" i="289"/>
  <c r="AK63" i="289"/>
  <c r="AJ63" i="289"/>
  <c r="AI63" i="289"/>
  <c r="AH63" i="289"/>
  <c r="AG63" i="289"/>
  <c r="AF63" i="289"/>
  <c r="Z63" i="289"/>
  <c r="BB62" i="289"/>
  <c r="BA62" i="289"/>
  <c r="AZ62" i="289"/>
  <c r="AY62" i="289"/>
  <c r="AX62" i="289"/>
  <c r="AW62" i="289"/>
  <c r="AV62" i="289"/>
  <c r="AU62" i="289"/>
  <c r="AT62" i="289"/>
  <c r="AS62" i="289"/>
  <c r="AR62" i="289"/>
  <c r="AQ62" i="289"/>
  <c r="AP62" i="289"/>
  <c r="AO62" i="289"/>
  <c r="AN62" i="289"/>
  <c r="AM62" i="289"/>
  <c r="AL62" i="289"/>
  <c r="AK62" i="289"/>
  <c r="AJ62" i="289"/>
  <c r="AI62" i="289"/>
  <c r="AH62" i="289"/>
  <c r="AG62" i="289"/>
  <c r="AF62" i="289"/>
  <c r="Z62" i="289"/>
  <c r="BB61" i="289"/>
  <c r="BA61" i="289"/>
  <c r="AZ61" i="289"/>
  <c r="AY61" i="289"/>
  <c r="AX61" i="289"/>
  <c r="AW61" i="289"/>
  <c r="AV61" i="289"/>
  <c r="AU61" i="289"/>
  <c r="AT61" i="289"/>
  <c r="AS61" i="289"/>
  <c r="AR61" i="289"/>
  <c r="AQ61" i="289"/>
  <c r="AP61" i="289"/>
  <c r="AO61" i="289"/>
  <c r="AN61" i="289"/>
  <c r="AM61" i="289"/>
  <c r="AL61" i="289"/>
  <c r="AK61" i="289"/>
  <c r="AJ61" i="289"/>
  <c r="AI61" i="289"/>
  <c r="AH61" i="289"/>
  <c r="AG61" i="289"/>
  <c r="AF61" i="289"/>
  <c r="Z61" i="289"/>
  <c r="BB60" i="289"/>
  <c r="BA60" i="289"/>
  <c r="AZ60" i="289"/>
  <c r="AY60" i="289"/>
  <c r="AX60" i="289"/>
  <c r="AW60" i="289"/>
  <c r="AV60" i="289"/>
  <c r="AU60" i="289"/>
  <c r="AT60" i="289"/>
  <c r="AS60" i="289"/>
  <c r="AR60" i="289"/>
  <c r="AQ60" i="289"/>
  <c r="AP60" i="289"/>
  <c r="AO60" i="289"/>
  <c r="AN60" i="289"/>
  <c r="AM60" i="289"/>
  <c r="AL60" i="289"/>
  <c r="AK60" i="289"/>
  <c r="AJ60" i="289"/>
  <c r="AI60" i="289"/>
  <c r="AH60" i="289"/>
  <c r="AG60" i="289"/>
  <c r="AF60" i="289"/>
  <c r="Z60" i="289"/>
  <c r="BB59" i="289"/>
  <c r="BA59" i="289"/>
  <c r="AZ59" i="289"/>
  <c r="AY59" i="289"/>
  <c r="AX59" i="289"/>
  <c r="AW59" i="289"/>
  <c r="AV59" i="289"/>
  <c r="AU59" i="289"/>
  <c r="AT59" i="289"/>
  <c r="AS59" i="289"/>
  <c r="AR59" i="289"/>
  <c r="AQ59" i="289"/>
  <c r="AP59" i="289"/>
  <c r="AO59" i="289"/>
  <c r="AN59" i="289"/>
  <c r="AM59" i="289"/>
  <c r="AL59" i="289"/>
  <c r="AK59" i="289"/>
  <c r="AJ59" i="289"/>
  <c r="AI59" i="289"/>
  <c r="AH59" i="289"/>
  <c r="AG59" i="289"/>
  <c r="AF59" i="289"/>
  <c r="Z59" i="289"/>
  <c r="Y59" i="289"/>
  <c r="BB58" i="289"/>
  <c r="BA58" i="289"/>
  <c r="AZ58" i="289"/>
  <c r="AY58" i="289"/>
  <c r="AX58" i="289"/>
  <c r="AW58" i="289"/>
  <c r="AV58" i="289"/>
  <c r="AU58" i="289"/>
  <c r="AT58" i="289"/>
  <c r="AS58" i="289"/>
  <c r="AR58" i="289"/>
  <c r="AQ58" i="289"/>
  <c r="AP58" i="289"/>
  <c r="AO58" i="289"/>
  <c r="AN58" i="289"/>
  <c r="AM58" i="289"/>
  <c r="AL58" i="289"/>
  <c r="AK58" i="289"/>
  <c r="AJ58" i="289"/>
  <c r="AI58" i="289"/>
  <c r="AH58" i="289"/>
  <c r="AG58" i="289"/>
  <c r="AF58" i="289"/>
  <c r="Z58" i="289"/>
  <c r="Y58" i="289"/>
  <c r="BB57" i="289"/>
  <c r="BA57" i="289"/>
  <c r="AZ57" i="289"/>
  <c r="AY57" i="289"/>
  <c r="AX57" i="289"/>
  <c r="AW57" i="289"/>
  <c r="AV57" i="289"/>
  <c r="AU57" i="289"/>
  <c r="AT57" i="289"/>
  <c r="AS57" i="289"/>
  <c r="AR57" i="289"/>
  <c r="AQ57" i="289"/>
  <c r="AP57" i="289"/>
  <c r="AO57" i="289"/>
  <c r="AN57" i="289"/>
  <c r="AM57" i="289"/>
  <c r="AL57" i="289"/>
  <c r="AK57" i="289"/>
  <c r="AJ57" i="289"/>
  <c r="AI57" i="289"/>
  <c r="AH57" i="289"/>
  <c r="AG57" i="289"/>
  <c r="AF57" i="289"/>
  <c r="Z57" i="289"/>
  <c r="Y57" i="289"/>
  <c r="BB56" i="289"/>
  <c r="BA56" i="289"/>
  <c r="AZ56" i="289"/>
  <c r="AY56" i="289"/>
  <c r="AX56" i="289"/>
  <c r="AW56" i="289"/>
  <c r="AV56" i="289"/>
  <c r="AU56" i="289"/>
  <c r="AT56" i="289"/>
  <c r="AS56" i="289"/>
  <c r="AR56" i="289"/>
  <c r="AQ56" i="289"/>
  <c r="AP56" i="289"/>
  <c r="AO56" i="289"/>
  <c r="AN56" i="289"/>
  <c r="AM56" i="289"/>
  <c r="AL56" i="289"/>
  <c r="AK56" i="289"/>
  <c r="AJ56" i="289"/>
  <c r="AI56" i="289"/>
  <c r="AH56" i="289"/>
  <c r="AG56" i="289"/>
  <c r="AF56" i="289"/>
  <c r="Z56" i="289"/>
  <c r="Y56" i="289"/>
  <c r="BB55" i="289"/>
  <c r="BA55" i="289"/>
  <c r="AZ55" i="289"/>
  <c r="AY55" i="289"/>
  <c r="AX55" i="289"/>
  <c r="AW55" i="289"/>
  <c r="AV55" i="289"/>
  <c r="AU55" i="289"/>
  <c r="AT55" i="289"/>
  <c r="AS55" i="289"/>
  <c r="AR55" i="289"/>
  <c r="AQ55" i="289"/>
  <c r="AP55" i="289"/>
  <c r="AO55" i="289"/>
  <c r="AN55" i="289"/>
  <c r="AM55" i="289"/>
  <c r="AL55" i="289"/>
  <c r="AK55" i="289"/>
  <c r="AJ55" i="289"/>
  <c r="AI55" i="289"/>
  <c r="AH55" i="289"/>
  <c r="AG55" i="289"/>
  <c r="AF55" i="289"/>
  <c r="Z55" i="289"/>
  <c r="Y55" i="289"/>
  <c r="X55" i="289"/>
  <c r="BB54" i="289"/>
  <c r="BA54" i="289"/>
  <c r="AZ54" i="289"/>
  <c r="AY54" i="289"/>
  <c r="AX54" i="289"/>
  <c r="AW54" i="289"/>
  <c r="AV54" i="289"/>
  <c r="AU54" i="289"/>
  <c r="AT54" i="289"/>
  <c r="AS54" i="289"/>
  <c r="AR54" i="289"/>
  <c r="AQ54" i="289"/>
  <c r="AP54" i="289"/>
  <c r="AO54" i="289"/>
  <c r="AN54" i="289"/>
  <c r="AM54" i="289"/>
  <c r="AL54" i="289"/>
  <c r="AK54" i="289"/>
  <c r="AJ54" i="289"/>
  <c r="AI54" i="289"/>
  <c r="AH54" i="289"/>
  <c r="AG54" i="289"/>
  <c r="AF54" i="289"/>
  <c r="Z54" i="289"/>
  <c r="Y54" i="289"/>
  <c r="X54" i="289"/>
  <c r="BB53" i="289"/>
  <c r="BA53" i="289"/>
  <c r="AZ53" i="289"/>
  <c r="AY53" i="289"/>
  <c r="AX53" i="289"/>
  <c r="AW53" i="289"/>
  <c r="AV53" i="289"/>
  <c r="AU53" i="289"/>
  <c r="AT53" i="289"/>
  <c r="AS53" i="289"/>
  <c r="AR53" i="289"/>
  <c r="AQ53" i="289"/>
  <c r="AP53" i="289"/>
  <c r="AO53" i="289"/>
  <c r="AN53" i="289"/>
  <c r="AM53" i="289"/>
  <c r="AL53" i="289"/>
  <c r="AK53" i="289"/>
  <c r="AJ53" i="289"/>
  <c r="AI53" i="289"/>
  <c r="AH53" i="289"/>
  <c r="AG53" i="289"/>
  <c r="AF53" i="289"/>
  <c r="Z53" i="289"/>
  <c r="Y53" i="289"/>
  <c r="X53" i="289"/>
  <c r="BB52" i="289"/>
  <c r="BA52" i="289"/>
  <c r="AZ52" i="289"/>
  <c r="AY52" i="289"/>
  <c r="AX52" i="289"/>
  <c r="AW52" i="289"/>
  <c r="AV52" i="289"/>
  <c r="AU52" i="289"/>
  <c r="AT52" i="289"/>
  <c r="AS52" i="289"/>
  <c r="AR52" i="289"/>
  <c r="AQ52" i="289"/>
  <c r="AP52" i="289"/>
  <c r="AO52" i="289"/>
  <c r="AN52" i="289"/>
  <c r="AM52" i="289"/>
  <c r="AL52" i="289"/>
  <c r="AK52" i="289"/>
  <c r="AJ52" i="289"/>
  <c r="AI52" i="289"/>
  <c r="AH52" i="289"/>
  <c r="AG52" i="289"/>
  <c r="AF52" i="289"/>
  <c r="Z52" i="289"/>
  <c r="Y52" i="289"/>
  <c r="X52" i="289"/>
  <c r="BB51" i="289"/>
  <c r="BA51" i="289"/>
  <c r="AZ51" i="289"/>
  <c r="AY51" i="289"/>
  <c r="AX51" i="289"/>
  <c r="AW51" i="289"/>
  <c r="AV51" i="289"/>
  <c r="AU51" i="289"/>
  <c r="AT51" i="289"/>
  <c r="AS51" i="289"/>
  <c r="AR51" i="289"/>
  <c r="AQ51" i="289"/>
  <c r="AP51" i="289"/>
  <c r="AO51" i="289"/>
  <c r="AN51" i="289"/>
  <c r="AM51" i="289"/>
  <c r="AL51" i="289"/>
  <c r="AK51" i="289"/>
  <c r="AJ51" i="289"/>
  <c r="AI51" i="289"/>
  <c r="AH51" i="289"/>
  <c r="AG51" i="289"/>
  <c r="AF51" i="289"/>
  <c r="Z51" i="289"/>
  <c r="Y51" i="289"/>
  <c r="X51" i="289"/>
  <c r="W51" i="289"/>
  <c r="BB50" i="289"/>
  <c r="BA50" i="289"/>
  <c r="AZ50" i="289"/>
  <c r="AY50" i="289"/>
  <c r="AX50" i="289"/>
  <c r="AW50" i="289"/>
  <c r="AV50" i="289"/>
  <c r="AU50" i="289"/>
  <c r="AT50" i="289"/>
  <c r="AS50" i="289"/>
  <c r="AR50" i="289"/>
  <c r="AQ50" i="289"/>
  <c r="AP50" i="289"/>
  <c r="AO50" i="289"/>
  <c r="AN50" i="289"/>
  <c r="AM50" i="289"/>
  <c r="AL50" i="289"/>
  <c r="AK50" i="289"/>
  <c r="AJ50" i="289"/>
  <c r="AI50" i="289"/>
  <c r="AH50" i="289"/>
  <c r="AG50" i="289"/>
  <c r="AF50" i="289"/>
  <c r="Z50" i="289"/>
  <c r="Y50" i="289"/>
  <c r="X50" i="289"/>
  <c r="W50" i="289"/>
  <c r="BB49" i="289"/>
  <c r="BA49" i="289"/>
  <c r="AZ49" i="289"/>
  <c r="AY49" i="289"/>
  <c r="AX49" i="289"/>
  <c r="AW49" i="289"/>
  <c r="AV49" i="289"/>
  <c r="AU49" i="289"/>
  <c r="AT49" i="289"/>
  <c r="AS49" i="289"/>
  <c r="AR49" i="289"/>
  <c r="AQ49" i="289"/>
  <c r="AP49" i="289"/>
  <c r="AO49" i="289"/>
  <c r="AN49" i="289"/>
  <c r="AM49" i="289"/>
  <c r="AL49" i="289"/>
  <c r="AK49" i="289"/>
  <c r="AJ49" i="289"/>
  <c r="AI49" i="289"/>
  <c r="AH49" i="289"/>
  <c r="AG49" i="289"/>
  <c r="AF49" i="289"/>
  <c r="Z49" i="289"/>
  <c r="Y49" i="289"/>
  <c r="X49" i="289"/>
  <c r="W49" i="289"/>
  <c r="BB48" i="289"/>
  <c r="BA48" i="289"/>
  <c r="AZ48" i="289"/>
  <c r="AY48" i="289"/>
  <c r="AX48" i="289"/>
  <c r="AW48" i="289"/>
  <c r="AV48" i="289"/>
  <c r="AU48" i="289"/>
  <c r="AT48" i="289"/>
  <c r="AS48" i="289"/>
  <c r="AR48" i="289"/>
  <c r="AQ48" i="289"/>
  <c r="AP48" i="289"/>
  <c r="AO48" i="289"/>
  <c r="AN48" i="289"/>
  <c r="AM48" i="289"/>
  <c r="AL48" i="289"/>
  <c r="AK48" i="289"/>
  <c r="AJ48" i="289"/>
  <c r="AI48" i="289"/>
  <c r="AH48" i="289"/>
  <c r="AG48" i="289"/>
  <c r="AF48" i="289"/>
  <c r="Z48" i="289"/>
  <c r="Y48" i="289"/>
  <c r="X48" i="289"/>
  <c r="W48" i="289"/>
  <c r="BB47" i="289"/>
  <c r="BA47" i="289"/>
  <c r="AZ47" i="289"/>
  <c r="AY47" i="289"/>
  <c r="AX47" i="289"/>
  <c r="AW47" i="289"/>
  <c r="AV47" i="289"/>
  <c r="AU47" i="289"/>
  <c r="AT47" i="289"/>
  <c r="AS47" i="289"/>
  <c r="AR47" i="289"/>
  <c r="AQ47" i="289"/>
  <c r="AP47" i="289"/>
  <c r="AO47" i="289"/>
  <c r="AN47" i="289"/>
  <c r="AM47" i="289"/>
  <c r="AL47" i="289"/>
  <c r="AK47" i="289"/>
  <c r="AJ47" i="289"/>
  <c r="AI47" i="289"/>
  <c r="AH47" i="289"/>
  <c r="AG47" i="289"/>
  <c r="AF47" i="289"/>
  <c r="Z47" i="289"/>
  <c r="Y47" i="289"/>
  <c r="X47" i="289"/>
  <c r="W47" i="289"/>
  <c r="V47" i="289"/>
  <c r="T47" i="289"/>
  <c r="S47" i="289"/>
  <c r="R47" i="289"/>
  <c r="Q47" i="289"/>
  <c r="P47" i="289"/>
  <c r="O47" i="289"/>
  <c r="N47" i="289"/>
  <c r="M47" i="289"/>
  <c r="L47" i="289"/>
  <c r="K47" i="289"/>
  <c r="J47" i="289"/>
  <c r="I47" i="289"/>
  <c r="H47" i="289"/>
  <c r="G47" i="289"/>
  <c r="F47" i="289"/>
  <c r="E47" i="289"/>
  <c r="D47" i="289"/>
  <c r="BB46" i="289"/>
  <c r="BA46" i="289"/>
  <c r="AZ46" i="289"/>
  <c r="AY46" i="289"/>
  <c r="AX46" i="289"/>
  <c r="AW46" i="289"/>
  <c r="AV46" i="289"/>
  <c r="AU46" i="289"/>
  <c r="AT46" i="289"/>
  <c r="AS46" i="289"/>
  <c r="AR46" i="289"/>
  <c r="AQ46" i="289"/>
  <c r="AP46" i="289"/>
  <c r="AO46" i="289"/>
  <c r="AN46" i="289"/>
  <c r="AM46" i="289"/>
  <c r="AL46" i="289"/>
  <c r="AK46" i="289"/>
  <c r="AJ46" i="289"/>
  <c r="AI46" i="289"/>
  <c r="AH46" i="289"/>
  <c r="AG46" i="289"/>
  <c r="AF46" i="289"/>
  <c r="Z46" i="289"/>
  <c r="Y46" i="289"/>
  <c r="X46" i="289"/>
  <c r="W46" i="289"/>
  <c r="V46" i="289"/>
  <c r="T46" i="289"/>
  <c r="S46" i="289"/>
  <c r="R46" i="289"/>
  <c r="Q46" i="289"/>
  <c r="P46" i="289"/>
  <c r="O46" i="289"/>
  <c r="N46" i="289"/>
  <c r="M46" i="289"/>
  <c r="L46" i="289"/>
  <c r="K46" i="289"/>
  <c r="J46" i="289"/>
  <c r="I46" i="289"/>
  <c r="H46" i="289"/>
  <c r="G46" i="289"/>
  <c r="F46" i="289"/>
  <c r="E46" i="289"/>
  <c r="D46" i="289"/>
  <c r="BB45" i="289"/>
  <c r="BA45" i="289"/>
  <c r="AZ45" i="289"/>
  <c r="AY45" i="289"/>
  <c r="AX45" i="289"/>
  <c r="AW45" i="289"/>
  <c r="AV45" i="289"/>
  <c r="AU45" i="289"/>
  <c r="AT45" i="289"/>
  <c r="AS45" i="289"/>
  <c r="AR45" i="289"/>
  <c r="AQ45" i="289"/>
  <c r="AP45" i="289"/>
  <c r="AO45" i="289"/>
  <c r="AN45" i="289"/>
  <c r="AM45" i="289"/>
  <c r="AL45" i="289"/>
  <c r="AK45" i="289"/>
  <c r="AJ45" i="289"/>
  <c r="AI45" i="289"/>
  <c r="AH45" i="289"/>
  <c r="AG45" i="289"/>
  <c r="AF45" i="289"/>
  <c r="Z45" i="289"/>
  <c r="Y45" i="289"/>
  <c r="X45" i="289"/>
  <c r="W45" i="289"/>
  <c r="V45" i="289"/>
  <c r="T45" i="289"/>
  <c r="S45" i="289"/>
  <c r="R45" i="289"/>
  <c r="Q45" i="289"/>
  <c r="P45" i="289"/>
  <c r="O45" i="289"/>
  <c r="N45" i="289"/>
  <c r="M45" i="289"/>
  <c r="L45" i="289"/>
  <c r="K45" i="289"/>
  <c r="J45" i="289"/>
  <c r="I45" i="289"/>
  <c r="H45" i="289"/>
  <c r="G45" i="289"/>
  <c r="F45" i="289"/>
  <c r="E45" i="289"/>
  <c r="D45" i="289"/>
  <c r="BB44" i="289"/>
  <c r="BA44" i="289"/>
  <c r="AZ44" i="289"/>
  <c r="AY44" i="289"/>
  <c r="AX44" i="289"/>
  <c r="AW44" i="289"/>
  <c r="AV44" i="289"/>
  <c r="AU44" i="289"/>
  <c r="AT44" i="289"/>
  <c r="AS44" i="289"/>
  <c r="AR44" i="289"/>
  <c r="AQ44" i="289"/>
  <c r="AP44" i="289"/>
  <c r="AO44" i="289"/>
  <c r="AN44" i="289"/>
  <c r="AM44" i="289"/>
  <c r="AL44" i="289"/>
  <c r="AK44" i="289"/>
  <c r="AJ44" i="289"/>
  <c r="AI44" i="289"/>
  <c r="AH44" i="289"/>
  <c r="AG44" i="289"/>
  <c r="AF44" i="289"/>
  <c r="Z44" i="289"/>
  <c r="Y44" i="289"/>
  <c r="X44" i="289"/>
  <c r="W44" i="289"/>
  <c r="V44" i="289"/>
  <c r="T44" i="289"/>
  <c r="S44" i="289"/>
  <c r="R44" i="289"/>
  <c r="Q44" i="289"/>
  <c r="P44" i="289"/>
  <c r="O44" i="289"/>
  <c r="N44" i="289"/>
  <c r="M44" i="289"/>
  <c r="L44" i="289"/>
  <c r="K44" i="289"/>
  <c r="J44" i="289"/>
  <c r="I44" i="289"/>
  <c r="H44" i="289"/>
  <c r="G44" i="289"/>
  <c r="F44" i="289"/>
  <c r="E44" i="289"/>
  <c r="D44" i="289"/>
  <c r="BB43" i="289"/>
  <c r="BA43" i="289"/>
  <c r="AZ43" i="289"/>
  <c r="AY43" i="289"/>
  <c r="AX43" i="289"/>
  <c r="AW43" i="289"/>
  <c r="AV43" i="289"/>
  <c r="AU43" i="289"/>
  <c r="AT43" i="289"/>
  <c r="AS43" i="289"/>
  <c r="AR43" i="289"/>
  <c r="AQ43" i="289"/>
  <c r="AP43" i="289"/>
  <c r="AO43" i="289"/>
  <c r="AN43" i="289"/>
  <c r="AM43" i="289"/>
  <c r="AL43" i="289"/>
  <c r="AK43" i="289"/>
  <c r="AJ43" i="289"/>
  <c r="AI43" i="289"/>
  <c r="AH43" i="289"/>
  <c r="AG43" i="289"/>
  <c r="AF43" i="289"/>
  <c r="Z43" i="289"/>
  <c r="Y43" i="289"/>
  <c r="X43" i="289"/>
  <c r="W43" i="289"/>
  <c r="V43" i="289"/>
  <c r="U43" i="289"/>
  <c r="T43" i="289"/>
  <c r="S43" i="289"/>
  <c r="R43" i="289"/>
  <c r="Q43" i="289"/>
  <c r="P43" i="289"/>
  <c r="O43" i="289"/>
  <c r="N43" i="289"/>
  <c r="M43" i="289"/>
  <c r="L43" i="289"/>
  <c r="K43" i="289"/>
  <c r="J43" i="289"/>
  <c r="I43" i="289"/>
  <c r="H43" i="289"/>
  <c r="G43" i="289"/>
  <c r="F43" i="289"/>
  <c r="E43" i="289"/>
  <c r="D43" i="289"/>
  <c r="BB42" i="289"/>
  <c r="BA42" i="289"/>
  <c r="AZ42" i="289"/>
  <c r="AY42" i="289"/>
  <c r="AX42" i="289"/>
  <c r="AW42" i="289"/>
  <c r="AV42" i="289"/>
  <c r="AU42" i="289"/>
  <c r="AT42" i="289"/>
  <c r="AS42" i="289"/>
  <c r="AR42" i="289"/>
  <c r="AQ42" i="289"/>
  <c r="AP42" i="289"/>
  <c r="AO42" i="289"/>
  <c r="AN42" i="289"/>
  <c r="AM42" i="289"/>
  <c r="AL42" i="289"/>
  <c r="AK42" i="289"/>
  <c r="AJ42" i="289"/>
  <c r="AI42" i="289"/>
  <c r="AH42" i="289"/>
  <c r="AG42" i="289"/>
  <c r="AF42" i="289"/>
  <c r="Z42" i="289"/>
  <c r="Y42" i="289"/>
  <c r="X42" i="289"/>
  <c r="W42" i="289"/>
  <c r="V42" i="289"/>
  <c r="U42" i="289"/>
  <c r="T42" i="289"/>
  <c r="S42" i="289"/>
  <c r="R42" i="289"/>
  <c r="Q42" i="289"/>
  <c r="P42" i="289"/>
  <c r="O42" i="289"/>
  <c r="N42" i="289"/>
  <c r="M42" i="289"/>
  <c r="L42" i="289"/>
  <c r="K42" i="289"/>
  <c r="J42" i="289"/>
  <c r="I42" i="289"/>
  <c r="H42" i="289"/>
  <c r="G42" i="289"/>
  <c r="F42" i="289"/>
  <c r="E42" i="289"/>
  <c r="D42" i="289"/>
  <c r="BB41" i="289"/>
  <c r="BA41" i="289"/>
  <c r="AZ41" i="289"/>
  <c r="AY41" i="289"/>
  <c r="AX41" i="289"/>
  <c r="AW41" i="289"/>
  <c r="AV41" i="289"/>
  <c r="AU41" i="289"/>
  <c r="AT41" i="289"/>
  <c r="AS41" i="289"/>
  <c r="AR41" i="289"/>
  <c r="AQ41" i="289"/>
  <c r="AP41" i="289"/>
  <c r="AO41" i="289"/>
  <c r="AN41" i="289"/>
  <c r="AM41" i="289"/>
  <c r="AL41" i="289"/>
  <c r="AK41" i="289"/>
  <c r="AJ41" i="289"/>
  <c r="AI41" i="289"/>
  <c r="AH41" i="289"/>
  <c r="AG41" i="289"/>
  <c r="AF41" i="289"/>
  <c r="Z41" i="289"/>
  <c r="Y41" i="289"/>
  <c r="X41" i="289"/>
  <c r="W41" i="289"/>
  <c r="V41" i="289"/>
  <c r="U41" i="289"/>
  <c r="T41" i="289"/>
  <c r="S41" i="289"/>
  <c r="R41" i="289"/>
  <c r="Q41" i="289"/>
  <c r="P41" i="289"/>
  <c r="O41" i="289"/>
  <c r="N41" i="289"/>
  <c r="M41" i="289"/>
  <c r="L41" i="289"/>
  <c r="K41" i="289"/>
  <c r="J41" i="289"/>
  <c r="I41" i="289"/>
  <c r="H41" i="289"/>
  <c r="G41" i="289"/>
  <c r="F41" i="289"/>
  <c r="E41" i="289"/>
  <c r="D41" i="289"/>
  <c r="BB40" i="289"/>
  <c r="BA40" i="289"/>
  <c r="AZ40" i="289"/>
  <c r="AY40" i="289"/>
  <c r="AX40" i="289"/>
  <c r="AW40" i="289"/>
  <c r="AV40" i="289"/>
  <c r="AU40" i="289"/>
  <c r="AT40" i="289"/>
  <c r="AS40" i="289"/>
  <c r="AR40" i="289"/>
  <c r="AQ40" i="289"/>
  <c r="AP40" i="289"/>
  <c r="AO40" i="289"/>
  <c r="AN40" i="289"/>
  <c r="AM40" i="289"/>
  <c r="AL40" i="289"/>
  <c r="AK40" i="289"/>
  <c r="AJ40" i="289"/>
  <c r="AI40" i="289"/>
  <c r="AH40" i="289"/>
  <c r="AG40" i="289"/>
  <c r="AF40" i="289"/>
  <c r="Z40" i="289"/>
  <c r="Y40" i="289"/>
  <c r="X40" i="289"/>
  <c r="W40" i="289"/>
  <c r="V40" i="289"/>
  <c r="U40" i="289"/>
  <c r="T40" i="289"/>
  <c r="S40" i="289"/>
  <c r="R40" i="289"/>
  <c r="Q40" i="289"/>
  <c r="P40" i="289"/>
  <c r="O40" i="289"/>
  <c r="N40" i="289"/>
  <c r="M40" i="289"/>
  <c r="L40" i="289"/>
  <c r="K40" i="289"/>
  <c r="J40" i="289"/>
  <c r="I40" i="289"/>
  <c r="H40" i="289"/>
  <c r="G40" i="289"/>
  <c r="F40" i="289"/>
  <c r="E40" i="289"/>
  <c r="D40" i="289"/>
  <c r="BB39" i="289"/>
  <c r="BA39" i="289"/>
  <c r="AZ39" i="289"/>
  <c r="AY39" i="289"/>
  <c r="AX39" i="289"/>
  <c r="AW39" i="289"/>
  <c r="AV39" i="289"/>
  <c r="AU39" i="289"/>
  <c r="AT39" i="289"/>
  <c r="AS39" i="289"/>
  <c r="AR39" i="289"/>
  <c r="AQ39" i="289"/>
  <c r="AP39" i="289"/>
  <c r="AO39" i="289"/>
  <c r="AN39" i="289"/>
  <c r="AM39" i="289"/>
  <c r="AL39" i="289"/>
  <c r="AK39" i="289"/>
  <c r="AJ39" i="289"/>
  <c r="AI39" i="289"/>
  <c r="AH39" i="289"/>
  <c r="AG39" i="289"/>
  <c r="AF39" i="289"/>
  <c r="Z39" i="289"/>
  <c r="Y39" i="289"/>
  <c r="X39" i="289"/>
  <c r="W39" i="289"/>
  <c r="V39" i="289"/>
  <c r="U39" i="289"/>
  <c r="T39" i="289"/>
  <c r="S39" i="289"/>
  <c r="R39" i="289"/>
  <c r="Q39" i="289"/>
  <c r="P39" i="289"/>
  <c r="O39" i="289"/>
  <c r="N39" i="289"/>
  <c r="M39" i="289"/>
  <c r="L39" i="289"/>
  <c r="K39" i="289"/>
  <c r="J39" i="289"/>
  <c r="I39" i="289"/>
  <c r="H39" i="289"/>
  <c r="G39" i="289"/>
  <c r="F39" i="289"/>
  <c r="E39" i="289"/>
  <c r="D39" i="289"/>
  <c r="BB38" i="289"/>
  <c r="BA38" i="289"/>
  <c r="AZ38" i="289"/>
  <c r="AY38" i="289"/>
  <c r="AX38" i="289"/>
  <c r="AW38" i="289"/>
  <c r="AV38" i="289"/>
  <c r="AU38" i="289"/>
  <c r="AT38" i="289"/>
  <c r="AS38" i="289"/>
  <c r="AR38" i="289"/>
  <c r="AQ38" i="289"/>
  <c r="AP38" i="289"/>
  <c r="AO38" i="289"/>
  <c r="AN38" i="289"/>
  <c r="AM38" i="289"/>
  <c r="AL38" i="289"/>
  <c r="AK38" i="289"/>
  <c r="AJ38" i="289"/>
  <c r="AI38" i="289"/>
  <c r="AH38" i="289"/>
  <c r="AG38" i="289"/>
  <c r="AF38" i="289"/>
  <c r="Z38" i="289"/>
  <c r="Y38" i="289"/>
  <c r="X38" i="289"/>
  <c r="W38" i="289"/>
  <c r="V38" i="289"/>
  <c r="U38" i="289"/>
  <c r="T38" i="289"/>
  <c r="S38" i="289"/>
  <c r="R38" i="289"/>
  <c r="Q38" i="289"/>
  <c r="P38" i="289"/>
  <c r="O38" i="289"/>
  <c r="N38" i="289"/>
  <c r="M38" i="289"/>
  <c r="L38" i="289"/>
  <c r="K38" i="289"/>
  <c r="J38" i="289"/>
  <c r="I38" i="289"/>
  <c r="H38" i="289"/>
  <c r="G38" i="289"/>
  <c r="F38" i="289"/>
  <c r="E38" i="289"/>
  <c r="D38" i="289"/>
  <c r="BB37" i="289"/>
  <c r="BA37" i="289"/>
  <c r="AZ37" i="289"/>
  <c r="AY37" i="289"/>
  <c r="AX37" i="289"/>
  <c r="AW37" i="289"/>
  <c r="AV37" i="289"/>
  <c r="AU37" i="289"/>
  <c r="AT37" i="289"/>
  <c r="AS37" i="289"/>
  <c r="AR37" i="289"/>
  <c r="AQ37" i="289"/>
  <c r="AP37" i="289"/>
  <c r="AO37" i="289"/>
  <c r="AN37" i="289"/>
  <c r="AM37" i="289"/>
  <c r="AL37" i="289"/>
  <c r="AK37" i="289"/>
  <c r="AJ37" i="289"/>
  <c r="AI37" i="289"/>
  <c r="AH37" i="289"/>
  <c r="AG37" i="289"/>
  <c r="AF37" i="289"/>
  <c r="Z37" i="289"/>
  <c r="Y37" i="289"/>
  <c r="X37" i="289"/>
  <c r="W37" i="289"/>
  <c r="V37" i="289"/>
  <c r="U37" i="289"/>
  <c r="T37" i="289"/>
  <c r="S37" i="289"/>
  <c r="R37" i="289"/>
  <c r="Q37" i="289"/>
  <c r="P37" i="289"/>
  <c r="O37" i="289"/>
  <c r="N37" i="289"/>
  <c r="M37" i="289"/>
  <c r="L37" i="289"/>
  <c r="K37" i="289"/>
  <c r="J37" i="289"/>
  <c r="I37" i="289"/>
  <c r="H37" i="289"/>
  <c r="G37" i="289"/>
  <c r="F37" i="289"/>
  <c r="E37" i="289"/>
  <c r="D37" i="289"/>
  <c r="BB36" i="289"/>
  <c r="BA36" i="289"/>
  <c r="AZ36" i="289"/>
  <c r="AY36" i="289"/>
  <c r="AX36" i="289"/>
  <c r="AW36" i="289"/>
  <c r="AV36" i="289"/>
  <c r="AU36" i="289"/>
  <c r="AT36" i="289"/>
  <c r="AS36" i="289"/>
  <c r="AR36" i="289"/>
  <c r="AQ36" i="289"/>
  <c r="AP36" i="289"/>
  <c r="AO36" i="289"/>
  <c r="AN36" i="289"/>
  <c r="AM36" i="289"/>
  <c r="AL36" i="289"/>
  <c r="AK36" i="289"/>
  <c r="AJ36" i="289"/>
  <c r="AI36" i="289"/>
  <c r="AH36" i="289"/>
  <c r="AG36" i="289"/>
  <c r="AF36" i="289"/>
  <c r="Z36" i="289"/>
  <c r="Y36" i="289"/>
  <c r="X36" i="289"/>
  <c r="W36" i="289"/>
  <c r="V36" i="289"/>
  <c r="U36" i="289"/>
  <c r="T36" i="289"/>
  <c r="S36" i="289"/>
  <c r="R36" i="289"/>
  <c r="Q36" i="289"/>
  <c r="P36" i="289"/>
  <c r="O36" i="289"/>
  <c r="N36" i="289"/>
  <c r="M36" i="289"/>
  <c r="L36" i="289"/>
  <c r="K36" i="289"/>
  <c r="J36" i="289"/>
  <c r="I36" i="289"/>
  <c r="H36" i="289"/>
  <c r="G36" i="289"/>
  <c r="F36" i="289"/>
  <c r="E36" i="289"/>
  <c r="D36" i="289"/>
  <c r="BB35" i="289"/>
  <c r="BA35" i="289"/>
  <c r="AZ35" i="289"/>
  <c r="AY35" i="289"/>
  <c r="AX35" i="289"/>
  <c r="AW35" i="289"/>
  <c r="AV35" i="289"/>
  <c r="AU35" i="289"/>
  <c r="AT35" i="289"/>
  <c r="AS35" i="289"/>
  <c r="AR35" i="289"/>
  <c r="AQ35" i="289"/>
  <c r="AP35" i="289"/>
  <c r="AO35" i="289"/>
  <c r="AN35" i="289"/>
  <c r="AM35" i="289"/>
  <c r="AL35" i="289"/>
  <c r="AK35" i="289"/>
  <c r="AJ35" i="289"/>
  <c r="AI35" i="289"/>
  <c r="AH35" i="289"/>
  <c r="AG35" i="289"/>
  <c r="AF35" i="289"/>
  <c r="Z35" i="289"/>
  <c r="Y35" i="289"/>
  <c r="X35" i="289"/>
  <c r="W35" i="289"/>
  <c r="V35" i="289"/>
  <c r="U35" i="289"/>
  <c r="T35" i="289"/>
  <c r="S35" i="289"/>
  <c r="R35" i="289"/>
  <c r="Q35" i="289"/>
  <c r="P35" i="289"/>
  <c r="O35" i="289"/>
  <c r="N35" i="289"/>
  <c r="M35" i="289"/>
  <c r="L35" i="289"/>
  <c r="K35" i="289"/>
  <c r="J35" i="289"/>
  <c r="I35" i="289"/>
  <c r="H35" i="289"/>
  <c r="G35" i="289"/>
  <c r="F35" i="289"/>
  <c r="E35" i="289"/>
  <c r="D35" i="289"/>
  <c r="BB34" i="289"/>
  <c r="BA34" i="289"/>
  <c r="AZ34" i="289"/>
  <c r="AY34" i="289"/>
  <c r="AX34" i="289"/>
  <c r="AW34" i="289"/>
  <c r="AV34" i="289"/>
  <c r="AU34" i="289"/>
  <c r="AT34" i="289"/>
  <c r="AS34" i="289"/>
  <c r="AR34" i="289"/>
  <c r="AQ34" i="289"/>
  <c r="AP34" i="289"/>
  <c r="AO34" i="289"/>
  <c r="AN34" i="289"/>
  <c r="AM34" i="289"/>
  <c r="AL34" i="289"/>
  <c r="AK34" i="289"/>
  <c r="AJ34" i="289"/>
  <c r="AI34" i="289"/>
  <c r="AH34" i="289"/>
  <c r="AG34" i="289"/>
  <c r="AF34" i="289"/>
  <c r="Z34" i="289"/>
  <c r="Y34" i="289"/>
  <c r="X34" i="289"/>
  <c r="W34" i="289"/>
  <c r="V34" i="289"/>
  <c r="U34" i="289"/>
  <c r="T34" i="289"/>
  <c r="S34" i="289"/>
  <c r="R34" i="289"/>
  <c r="Q34" i="289"/>
  <c r="P34" i="289"/>
  <c r="O34" i="289"/>
  <c r="N34" i="289"/>
  <c r="M34" i="289"/>
  <c r="L34" i="289"/>
  <c r="K34" i="289"/>
  <c r="J34" i="289"/>
  <c r="I34" i="289"/>
  <c r="H34" i="289"/>
  <c r="G34" i="289"/>
  <c r="F34" i="289"/>
  <c r="E34" i="289"/>
  <c r="D34" i="289"/>
  <c r="BB33" i="289"/>
  <c r="BA33" i="289"/>
  <c r="AZ33" i="289"/>
  <c r="AY33" i="289"/>
  <c r="AX33" i="289"/>
  <c r="AW33" i="289"/>
  <c r="AV33" i="289"/>
  <c r="AU33" i="289"/>
  <c r="AT33" i="289"/>
  <c r="AS33" i="289"/>
  <c r="AR33" i="289"/>
  <c r="AQ33" i="289"/>
  <c r="AP33" i="289"/>
  <c r="AO33" i="289"/>
  <c r="AN33" i="289"/>
  <c r="AM33" i="289"/>
  <c r="AL33" i="289"/>
  <c r="AK33" i="289"/>
  <c r="AJ33" i="289"/>
  <c r="AI33" i="289"/>
  <c r="AH33" i="289"/>
  <c r="AG33" i="289"/>
  <c r="AF33" i="289"/>
  <c r="Z33" i="289"/>
  <c r="Y33" i="289"/>
  <c r="X33" i="289"/>
  <c r="W33" i="289"/>
  <c r="V33" i="289"/>
  <c r="U33" i="289"/>
  <c r="T33" i="289"/>
  <c r="S33" i="289"/>
  <c r="R33" i="289"/>
  <c r="Q33" i="289"/>
  <c r="P33" i="289"/>
  <c r="O33" i="289"/>
  <c r="N33" i="289"/>
  <c r="M33" i="289"/>
  <c r="L33" i="289"/>
  <c r="K33" i="289"/>
  <c r="J33" i="289"/>
  <c r="I33" i="289"/>
  <c r="H33" i="289"/>
  <c r="G33" i="289"/>
  <c r="F33" i="289"/>
  <c r="E33" i="289"/>
  <c r="D33" i="289"/>
  <c r="BB32" i="289"/>
  <c r="BA32" i="289"/>
  <c r="AZ32" i="289"/>
  <c r="AY32" i="289"/>
  <c r="AX32" i="289"/>
  <c r="AW32" i="289"/>
  <c r="AV32" i="289"/>
  <c r="AU32" i="289"/>
  <c r="AT32" i="289"/>
  <c r="AS32" i="289"/>
  <c r="AR32" i="289"/>
  <c r="AQ32" i="289"/>
  <c r="AP32" i="289"/>
  <c r="AO32" i="289"/>
  <c r="AN32" i="289"/>
  <c r="AM32" i="289"/>
  <c r="AL32" i="289"/>
  <c r="AK32" i="289"/>
  <c r="AJ32" i="289"/>
  <c r="AI32" i="289"/>
  <c r="AH32" i="289"/>
  <c r="AG32" i="289"/>
  <c r="AF32" i="289"/>
  <c r="Z32" i="289"/>
  <c r="Y32" i="289"/>
  <c r="X32" i="289"/>
  <c r="W32" i="289"/>
  <c r="V32" i="289"/>
  <c r="U32" i="289"/>
  <c r="T32" i="289"/>
  <c r="S32" i="289"/>
  <c r="R32" i="289"/>
  <c r="Q32" i="289"/>
  <c r="P32" i="289"/>
  <c r="O32" i="289"/>
  <c r="N32" i="289"/>
  <c r="M32" i="289"/>
  <c r="L32" i="289"/>
  <c r="K32" i="289"/>
  <c r="J32" i="289"/>
  <c r="I32" i="289"/>
  <c r="H32" i="289"/>
  <c r="G32" i="289"/>
  <c r="F32" i="289"/>
  <c r="E32" i="289"/>
  <c r="D32" i="289"/>
  <c r="BB31" i="289"/>
  <c r="BA31" i="289"/>
  <c r="AZ31" i="289"/>
  <c r="AY31" i="289"/>
  <c r="AX31" i="289"/>
  <c r="AW31" i="289"/>
  <c r="AV31" i="289"/>
  <c r="AU31" i="289"/>
  <c r="AT31" i="289"/>
  <c r="AS31" i="289"/>
  <c r="AR31" i="289"/>
  <c r="AQ31" i="289"/>
  <c r="AP31" i="289"/>
  <c r="AO31" i="289"/>
  <c r="AN31" i="289"/>
  <c r="AM31" i="289"/>
  <c r="AL31" i="289"/>
  <c r="AK31" i="289"/>
  <c r="AJ31" i="289"/>
  <c r="AI31" i="289"/>
  <c r="AH31" i="289"/>
  <c r="AG31" i="289"/>
  <c r="AF31" i="289"/>
  <c r="Z31" i="289"/>
  <c r="Y31" i="289"/>
  <c r="X31" i="289"/>
  <c r="W31" i="289"/>
  <c r="V31" i="289"/>
  <c r="U31" i="289"/>
  <c r="T31" i="289"/>
  <c r="S31" i="289"/>
  <c r="R31" i="289"/>
  <c r="Q31" i="289"/>
  <c r="P31" i="289"/>
  <c r="O31" i="289"/>
  <c r="N31" i="289"/>
  <c r="M31" i="289"/>
  <c r="L31" i="289"/>
  <c r="K31" i="289"/>
  <c r="J31" i="289"/>
  <c r="I31" i="289"/>
  <c r="H31" i="289"/>
  <c r="G31" i="289"/>
  <c r="F31" i="289"/>
  <c r="E31" i="289"/>
  <c r="D31" i="289"/>
  <c r="BB30" i="289"/>
  <c r="BA30" i="289"/>
  <c r="AZ30" i="289"/>
  <c r="AY30" i="289"/>
  <c r="AX30" i="289"/>
  <c r="AW30" i="289"/>
  <c r="AV30" i="289"/>
  <c r="AU30" i="289"/>
  <c r="AT30" i="289"/>
  <c r="AS30" i="289"/>
  <c r="AR30" i="289"/>
  <c r="AQ30" i="289"/>
  <c r="AP30" i="289"/>
  <c r="AO30" i="289"/>
  <c r="AN30" i="289"/>
  <c r="AM30" i="289"/>
  <c r="AL30" i="289"/>
  <c r="AK30" i="289"/>
  <c r="AJ30" i="289"/>
  <c r="AI30" i="289"/>
  <c r="AH30" i="289"/>
  <c r="AG30" i="289"/>
  <c r="AF30" i="289"/>
  <c r="Z30" i="289"/>
  <c r="Y30" i="289"/>
  <c r="X30" i="289"/>
  <c r="W30" i="289"/>
  <c r="V30" i="289"/>
  <c r="U30" i="289"/>
  <c r="T30" i="289"/>
  <c r="S30" i="289"/>
  <c r="R30" i="289"/>
  <c r="Q30" i="289"/>
  <c r="P30" i="289"/>
  <c r="O30" i="289"/>
  <c r="N30" i="289"/>
  <c r="M30" i="289"/>
  <c r="L30" i="289"/>
  <c r="K30" i="289"/>
  <c r="J30" i="289"/>
  <c r="I30" i="289"/>
  <c r="H30" i="289"/>
  <c r="G30" i="289"/>
  <c r="F30" i="289"/>
  <c r="E30" i="289"/>
  <c r="D30" i="289"/>
  <c r="BB29" i="289"/>
  <c r="BA29" i="289"/>
  <c r="AZ29" i="289"/>
  <c r="AY29" i="289"/>
  <c r="AX29" i="289"/>
  <c r="AW29" i="289"/>
  <c r="AV29" i="289"/>
  <c r="AU29" i="289"/>
  <c r="AT29" i="289"/>
  <c r="AS29" i="289"/>
  <c r="AR29" i="289"/>
  <c r="AQ29" i="289"/>
  <c r="AP29" i="289"/>
  <c r="AO29" i="289"/>
  <c r="AN29" i="289"/>
  <c r="AM29" i="289"/>
  <c r="AL29" i="289"/>
  <c r="AK29" i="289"/>
  <c r="AJ29" i="289"/>
  <c r="AI29" i="289"/>
  <c r="AH29" i="289"/>
  <c r="AG29" i="289"/>
  <c r="AF29" i="289"/>
  <c r="Z29" i="289"/>
  <c r="Y29" i="289"/>
  <c r="X29" i="289"/>
  <c r="W29" i="289"/>
  <c r="V29" i="289"/>
  <c r="U29" i="289"/>
  <c r="T29" i="289"/>
  <c r="S29" i="289"/>
  <c r="R29" i="289"/>
  <c r="Q29" i="289"/>
  <c r="P29" i="289"/>
  <c r="O29" i="289"/>
  <c r="N29" i="289"/>
  <c r="M29" i="289"/>
  <c r="L29" i="289"/>
  <c r="K29" i="289"/>
  <c r="J29" i="289"/>
  <c r="I29" i="289"/>
  <c r="H29" i="289"/>
  <c r="G29" i="289"/>
  <c r="F29" i="289"/>
  <c r="E29" i="289"/>
  <c r="D29" i="289"/>
  <c r="BB28" i="289"/>
  <c r="BA28" i="289"/>
  <c r="AZ28" i="289"/>
  <c r="AY28" i="289"/>
  <c r="AX28" i="289"/>
  <c r="AW28" i="289"/>
  <c r="AV28" i="289"/>
  <c r="AU28" i="289"/>
  <c r="AT28" i="289"/>
  <c r="AS28" i="289"/>
  <c r="AR28" i="289"/>
  <c r="AQ28" i="289"/>
  <c r="AP28" i="289"/>
  <c r="AO28" i="289"/>
  <c r="AN28" i="289"/>
  <c r="AM28" i="289"/>
  <c r="AL28" i="289"/>
  <c r="AK28" i="289"/>
  <c r="AJ28" i="289"/>
  <c r="AI28" i="289"/>
  <c r="AH28" i="289"/>
  <c r="AG28" i="289"/>
  <c r="AF28" i="289"/>
  <c r="Z28" i="289"/>
  <c r="Y28" i="289"/>
  <c r="X28" i="289"/>
  <c r="W28" i="289"/>
  <c r="V28" i="289"/>
  <c r="U28" i="289"/>
  <c r="T28" i="289"/>
  <c r="S28" i="289"/>
  <c r="R28" i="289"/>
  <c r="Q28" i="289"/>
  <c r="P28" i="289"/>
  <c r="O28" i="289"/>
  <c r="N28" i="289"/>
  <c r="M28" i="289"/>
  <c r="L28" i="289"/>
  <c r="K28" i="289"/>
  <c r="J28" i="289"/>
  <c r="I28" i="289"/>
  <c r="H28" i="289"/>
  <c r="G28" i="289"/>
  <c r="F28" i="289"/>
  <c r="E28" i="289"/>
  <c r="D28" i="289"/>
  <c r="BB27" i="289"/>
  <c r="BA27" i="289"/>
  <c r="AZ27" i="289"/>
  <c r="AY27" i="289"/>
  <c r="AX27" i="289"/>
  <c r="AW27" i="289"/>
  <c r="AV27" i="289"/>
  <c r="AU27" i="289"/>
  <c r="AT27" i="289"/>
  <c r="AS27" i="289"/>
  <c r="AR27" i="289"/>
  <c r="AQ27" i="289"/>
  <c r="AP27" i="289"/>
  <c r="AO27" i="289"/>
  <c r="AN27" i="289"/>
  <c r="AM27" i="289"/>
  <c r="AL27" i="289"/>
  <c r="AK27" i="289"/>
  <c r="AJ27" i="289"/>
  <c r="AI27" i="289"/>
  <c r="AH27" i="289"/>
  <c r="AG27" i="289"/>
  <c r="AF27" i="289"/>
  <c r="Z27" i="289"/>
  <c r="Y27" i="289"/>
  <c r="X27" i="289"/>
  <c r="W27" i="289"/>
  <c r="V27" i="289"/>
  <c r="U27" i="289"/>
  <c r="T27" i="289"/>
  <c r="S27" i="289"/>
  <c r="R27" i="289"/>
  <c r="Q27" i="289"/>
  <c r="P27" i="289"/>
  <c r="O27" i="289"/>
  <c r="N27" i="289"/>
  <c r="M27" i="289"/>
  <c r="L27" i="289"/>
  <c r="K27" i="289"/>
  <c r="J27" i="289"/>
  <c r="I27" i="289"/>
  <c r="H27" i="289"/>
  <c r="G27" i="289"/>
  <c r="F27" i="289"/>
  <c r="E27" i="289"/>
  <c r="D27" i="289"/>
  <c r="BB26" i="289"/>
  <c r="BA26" i="289"/>
  <c r="AZ26" i="289"/>
  <c r="AY26" i="289"/>
  <c r="AX26" i="289"/>
  <c r="AW26" i="289"/>
  <c r="AV26" i="289"/>
  <c r="AU26" i="289"/>
  <c r="AT26" i="289"/>
  <c r="AS26" i="289"/>
  <c r="AR26" i="289"/>
  <c r="AQ26" i="289"/>
  <c r="AP26" i="289"/>
  <c r="AO26" i="289"/>
  <c r="AN26" i="289"/>
  <c r="AM26" i="289"/>
  <c r="AL26" i="289"/>
  <c r="AK26" i="289"/>
  <c r="AJ26" i="289"/>
  <c r="AI26" i="289"/>
  <c r="AH26" i="289"/>
  <c r="AG26" i="289"/>
  <c r="AF26" i="289"/>
  <c r="Z26" i="289"/>
  <c r="Y26" i="289"/>
  <c r="X26" i="289"/>
  <c r="W26" i="289"/>
  <c r="V26" i="289"/>
  <c r="U26" i="289"/>
  <c r="T26" i="289"/>
  <c r="S26" i="289"/>
  <c r="R26" i="289"/>
  <c r="Q26" i="289"/>
  <c r="P26" i="289"/>
  <c r="O26" i="289"/>
  <c r="N26" i="289"/>
  <c r="M26" i="289"/>
  <c r="L26" i="289"/>
  <c r="K26" i="289"/>
  <c r="J26" i="289"/>
  <c r="I26" i="289"/>
  <c r="H26" i="289"/>
  <c r="G26" i="289"/>
  <c r="F26" i="289"/>
  <c r="E26" i="289"/>
  <c r="D26" i="289"/>
  <c r="BB25" i="289"/>
  <c r="BA25" i="289"/>
  <c r="AZ25" i="289"/>
  <c r="AY25" i="289"/>
  <c r="AX25" i="289"/>
  <c r="AW25" i="289"/>
  <c r="AV25" i="289"/>
  <c r="AU25" i="289"/>
  <c r="AT25" i="289"/>
  <c r="AS25" i="289"/>
  <c r="AR25" i="289"/>
  <c r="AQ25" i="289"/>
  <c r="AP25" i="289"/>
  <c r="AO25" i="289"/>
  <c r="AN25" i="289"/>
  <c r="AM25" i="289"/>
  <c r="AL25" i="289"/>
  <c r="AK25" i="289"/>
  <c r="AJ25" i="289"/>
  <c r="AI25" i="289"/>
  <c r="AH25" i="289"/>
  <c r="AG25" i="289"/>
  <c r="AF25" i="289"/>
  <c r="Z25" i="289"/>
  <c r="Y25" i="289"/>
  <c r="X25" i="289"/>
  <c r="W25" i="289"/>
  <c r="V25" i="289"/>
  <c r="U25" i="289"/>
  <c r="T25" i="289"/>
  <c r="S25" i="289"/>
  <c r="R25" i="289"/>
  <c r="Q25" i="289"/>
  <c r="P25" i="289"/>
  <c r="O25" i="289"/>
  <c r="N25" i="289"/>
  <c r="M25" i="289"/>
  <c r="L25" i="289"/>
  <c r="K25" i="289"/>
  <c r="J25" i="289"/>
  <c r="I25" i="289"/>
  <c r="H25" i="289"/>
  <c r="G25" i="289"/>
  <c r="F25" i="289"/>
  <c r="E25" i="289"/>
  <c r="D25" i="289"/>
  <c r="BB24" i="289"/>
  <c r="BA24" i="289"/>
  <c r="AZ24" i="289"/>
  <c r="AY24" i="289"/>
  <c r="AX24" i="289"/>
  <c r="AW24" i="289"/>
  <c r="AV24" i="289"/>
  <c r="AU24" i="289"/>
  <c r="AT24" i="289"/>
  <c r="AS24" i="289"/>
  <c r="AR24" i="289"/>
  <c r="AQ24" i="289"/>
  <c r="AP24" i="289"/>
  <c r="AO24" i="289"/>
  <c r="AN24" i="289"/>
  <c r="AM24" i="289"/>
  <c r="AL24" i="289"/>
  <c r="AK24" i="289"/>
  <c r="AJ24" i="289"/>
  <c r="AI24" i="289"/>
  <c r="AH24" i="289"/>
  <c r="AG24" i="289"/>
  <c r="AF24" i="289"/>
  <c r="Z24" i="289"/>
  <c r="Y24" i="289"/>
  <c r="X24" i="289"/>
  <c r="W24" i="289"/>
  <c r="V24" i="289"/>
  <c r="U24" i="289"/>
  <c r="T24" i="289"/>
  <c r="S24" i="289"/>
  <c r="R24" i="289"/>
  <c r="Q24" i="289"/>
  <c r="P24" i="289"/>
  <c r="O24" i="289"/>
  <c r="N24" i="289"/>
  <c r="M24" i="289"/>
  <c r="L24" i="289"/>
  <c r="K24" i="289"/>
  <c r="J24" i="289"/>
  <c r="I24" i="289"/>
  <c r="H24" i="289"/>
  <c r="G24" i="289"/>
  <c r="F24" i="289"/>
  <c r="E24" i="289"/>
  <c r="D24" i="289"/>
  <c r="BB23" i="289"/>
  <c r="BA23" i="289"/>
  <c r="AZ23" i="289"/>
  <c r="AY23" i="289"/>
  <c r="AX23" i="289"/>
  <c r="AW23" i="289"/>
  <c r="AV23" i="289"/>
  <c r="AU23" i="289"/>
  <c r="AT23" i="289"/>
  <c r="AS23" i="289"/>
  <c r="AR23" i="289"/>
  <c r="AQ23" i="289"/>
  <c r="AP23" i="289"/>
  <c r="AO23" i="289"/>
  <c r="AN23" i="289"/>
  <c r="AM23" i="289"/>
  <c r="AL23" i="289"/>
  <c r="AK23" i="289"/>
  <c r="AJ23" i="289"/>
  <c r="AI23" i="289"/>
  <c r="AH23" i="289"/>
  <c r="AG23" i="289"/>
  <c r="AF23" i="289"/>
  <c r="Z23" i="289"/>
  <c r="Y23" i="289"/>
  <c r="X23" i="289"/>
  <c r="W23" i="289"/>
  <c r="V23" i="289"/>
  <c r="U23" i="289"/>
  <c r="T23" i="289"/>
  <c r="S23" i="289"/>
  <c r="R23" i="289"/>
  <c r="Q23" i="289"/>
  <c r="P23" i="289"/>
  <c r="O23" i="289"/>
  <c r="N23" i="289"/>
  <c r="M23" i="289"/>
  <c r="L23" i="289"/>
  <c r="K23" i="289"/>
  <c r="J23" i="289"/>
  <c r="I23" i="289"/>
  <c r="H23" i="289"/>
  <c r="G23" i="289"/>
  <c r="F23" i="289"/>
  <c r="E23" i="289"/>
  <c r="D23" i="289"/>
  <c r="BB22" i="289"/>
  <c r="BA22" i="289"/>
  <c r="AZ22" i="289"/>
  <c r="AY22" i="289"/>
  <c r="AX22" i="289"/>
  <c r="AW22" i="289"/>
  <c r="AV22" i="289"/>
  <c r="AU22" i="289"/>
  <c r="AT22" i="289"/>
  <c r="AS22" i="289"/>
  <c r="AR22" i="289"/>
  <c r="AQ22" i="289"/>
  <c r="AP22" i="289"/>
  <c r="AO22" i="289"/>
  <c r="AN22" i="289"/>
  <c r="AM22" i="289"/>
  <c r="AL22" i="289"/>
  <c r="AK22" i="289"/>
  <c r="AJ22" i="289"/>
  <c r="AI22" i="289"/>
  <c r="AH22" i="289"/>
  <c r="AG22" i="289"/>
  <c r="AF22" i="289"/>
  <c r="Z22" i="289"/>
  <c r="Y22" i="289"/>
  <c r="X22" i="289"/>
  <c r="W22" i="289"/>
  <c r="V22" i="289"/>
  <c r="U22" i="289"/>
  <c r="T22" i="289"/>
  <c r="S22" i="289"/>
  <c r="R22" i="289"/>
  <c r="Q22" i="289"/>
  <c r="P22" i="289"/>
  <c r="O22" i="289"/>
  <c r="N22" i="289"/>
  <c r="M22" i="289"/>
  <c r="L22" i="289"/>
  <c r="K22" i="289"/>
  <c r="J22" i="289"/>
  <c r="I22" i="289"/>
  <c r="H22" i="289"/>
  <c r="G22" i="289"/>
  <c r="F22" i="289"/>
  <c r="E22" i="289"/>
  <c r="D22" i="289"/>
  <c r="BB21" i="289"/>
  <c r="BA21" i="289"/>
  <c r="AZ21" i="289"/>
  <c r="AY21" i="289"/>
  <c r="AX21" i="289"/>
  <c r="AW21" i="289"/>
  <c r="AV21" i="289"/>
  <c r="AU21" i="289"/>
  <c r="AT21" i="289"/>
  <c r="AS21" i="289"/>
  <c r="AR21" i="289"/>
  <c r="AQ21" i="289"/>
  <c r="AP21" i="289"/>
  <c r="AO21" i="289"/>
  <c r="AN21" i="289"/>
  <c r="AM21" i="289"/>
  <c r="AL21" i="289"/>
  <c r="AK21" i="289"/>
  <c r="AJ21" i="289"/>
  <c r="AI21" i="289"/>
  <c r="AH21" i="289"/>
  <c r="AG21" i="289"/>
  <c r="AF21" i="289"/>
  <c r="Z21" i="289"/>
  <c r="Y21" i="289"/>
  <c r="X21" i="289"/>
  <c r="W21" i="289"/>
  <c r="V21" i="289"/>
  <c r="U21" i="289"/>
  <c r="T21" i="289"/>
  <c r="S21" i="289"/>
  <c r="R21" i="289"/>
  <c r="Q21" i="289"/>
  <c r="P21" i="289"/>
  <c r="O21" i="289"/>
  <c r="N21" i="289"/>
  <c r="M21" i="289"/>
  <c r="L21" i="289"/>
  <c r="K21" i="289"/>
  <c r="J21" i="289"/>
  <c r="I21" i="289"/>
  <c r="H21" i="289"/>
  <c r="G21" i="289"/>
  <c r="F21" i="289"/>
  <c r="E21" i="289"/>
  <c r="D21" i="289"/>
  <c r="BB20" i="289"/>
  <c r="BA20" i="289"/>
  <c r="AZ20" i="289"/>
  <c r="AY20" i="289"/>
  <c r="AX20" i="289"/>
  <c r="AW20" i="289"/>
  <c r="AV20" i="289"/>
  <c r="AU20" i="289"/>
  <c r="AT20" i="289"/>
  <c r="AS20" i="289"/>
  <c r="AR20" i="289"/>
  <c r="AQ20" i="289"/>
  <c r="AP20" i="289"/>
  <c r="AO20" i="289"/>
  <c r="AN20" i="289"/>
  <c r="AM20" i="289"/>
  <c r="AL20" i="289"/>
  <c r="AK20" i="289"/>
  <c r="AJ20" i="289"/>
  <c r="AI20" i="289"/>
  <c r="AH20" i="289"/>
  <c r="AG20" i="289"/>
  <c r="AF20" i="289"/>
  <c r="Z20" i="289"/>
  <c r="Y20" i="289"/>
  <c r="X20" i="289"/>
  <c r="W20" i="289"/>
  <c r="V20" i="289"/>
  <c r="U20" i="289"/>
  <c r="T20" i="289"/>
  <c r="S20" i="289"/>
  <c r="R20" i="289"/>
  <c r="Q20" i="289"/>
  <c r="P20" i="289"/>
  <c r="O20" i="289"/>
  <c r="N20" i="289"/>
  <c r="M20" i="289"/>
  <c r="L20" i="289"/>
  <c r="K20" i="289"/>
  <c r="J20" i="289"/>
  <c r="I20" i="289"/>
  <c r="H20" i="289"/>
  <c r="G20" i="289"/>
  <c r="F20" i="289"/>
  <c r="E20" i="289"/>
  <c r="D20" i="289"/>
  <c r="BB19" i="289"/>
  <c r="BA19" i="289"/>
  <c r="AZ19" i="289"/>
  <c r="AY19" i="289"/>
  <c r="AX19" i="289"/>
  <c r="AW19" i="289"/>
  <c r="AV19" i="289"/>
  <c r="AU19" i="289"/>
  <c r="AT19" i="289"/>
  <c r="AS19" i="289"/>
  <c r="AR19" i="289"/>
  <c r="AQ19" i="289"/>
  <c r="AP19" i="289"/>
  <c r="AO19" i="289"/>
  <c r="AN19" i="289"/>
  <c r="AM19" i="289"/>
  <c r="AL19" i="289"/>
  <c r="AK19" i="289"/>
  <c r="AJ19" i="289"/>
  <c r="AI19" i="289"/>
  <c r="AH19" i="289"/>
  <c r="AG19" i="289"/>
  <c r="AF19" i="289"/>
  <c r="Z19" i="289"/>
  <c r="Y19" i="289"/>
  <c r="X19" i="289"/>
  <c r="W19" i="289"/>
  <c r="V19" i="289"/>
  <c r="U19" i="289"/>
  <c r="T19" i="289"/>
  <c r="S19" i="289"/>
  <c r="R19" i="289"/>
  <c r="Q19" i="289"/>
  <c r="P19" i="289"/>
  <c r="O19" i="289"/>
  <c r="N19" i="289"/>
  <c r="M19" i="289"/>
  <c r="L19" i="289"/>
  <c r="K19" i="289"/>
  <c r="J19" i="289"/>
  <c r="I19" i="289"/>
  <c r="H19" i="289"/>
  <c r="G19" i="289"/>
  <c r="F19" i="289"/>
  <c r="E19" i="289"/>
  <c r="D19" i="289"/>
  <c r="BB18" i="289"/>
  <c r="BA18" i="289"/>
  <c r="AZ18" i="289"/>
  <c r="AY18" i="289"/>
  <c r="AX18" i="289"/>
  <c r="AW18" i="289"/>
  <c r="AV18" i="289"/>
  <c r="AU18" i="289"/>
  <c r="AT18" i="289"/>
  <c r="AS18" i="289"/>
  <c r="AR18" i="289"/>
  <c r="AQ18" i="289"/>
  <c r="AP18" i="289"/>
  <c r="AO18" i="289"/>
  <c r="AN18" i="289"/>
  <c r="AM18" i="289"/>
  <c r="AL18" i="289"/>
  <c r="AK18" i="289"/>
  <c r="AJ18" i="289"/>
  <c r="AI18" i="289"/>
  <c r="AH18" i="289"/>
  <c r="AG18" i="289"/>
  <c r="AF18" i="289"/>
  <c r="Z18" i="289"/>
  <c r="Y18" i="289"/>
  <c r="X18" i="289"/>
  <c r="W18" i="289"/>
  <c r="V18" i="289"/>
  <c r="U18" i="289"/>
  <c r="T18" i="289"/>
  <c r="S18" i="289"/>
  <c r="R18" i="289"/>
  <c r="Q18" i="289"/>
  <c r="P18" i="289"/>
  <c r="O18" i="289"/>
  <c r="N18" i="289"/>
  <c r="M18" i="289"/>
  <c r="L18" i="289"/>
  <c r="K18" i="289"/>
  <c r="J18" i="289"/>
  <c r="I18" i="289"/>
  <c r="H18" i="289"/>
  <c r="G18" i="289"/>
  <c r="F18" i="289"/>
  <c r="E18" i="289"/>
  <c r="D18" i="289"/>
  <c r="BB17" i="289"/>
  <c r="BA17" i="289"/>
  <c r="AZ17" i="289"/>
  <c r="AY17" i="289"/>
  <c r="AX17" i="289"/>
  <c r="AW17" i="289"/>
  <c r="AV17" i="289"/>
  <c r="AU17" i="289"/>
  <c r="AT17" i="289"/>
  <c r="AS17" i="289"/>
  <c r="AR17" i="289"/>
  <c r="AQ17" i="289"/>
  <c r="AP17" i="289"/>
  <c r="AO17" i="289"/>
  <c r="AN17" i="289"/>
  <c r="AM17" i="289"/>
  <c r="AL17" i="289"/>
  <c r="AK17" i="289"/>
  <c r="AJ17" i="289"/>
  <c r="AI17" i="289"/>
  <c r="AH17" i="289"/>
  <c r="AG17" i="289"/>
  <c r="AF17" i="289"/>
  <c r="Z17" i="289"/>
  <c r="Y17" i="289"/>
  <c r="X17" i="289"/>
  <c r="W17" i="289"/>
  <c r="V17" i="289"/>
  <c r="U17" i="289"/>
  <c r="T17" i="289"/>
  <c r="S17" i="289"/>
  <c r="R17" i="289"/>
  <c r="Q17" i="289"/>
  <c r="P17" i="289"/>
  <c r="O17" i="289"/>
  <c r="N17" i="289"/>
  <c r="M17" i="289"/>
  <c r="L17" i="289"/>
  <c r="K17" i="289"/>
  <c r="J17" i="289"/>
  <c r="I17" i="289"/>
  <c r="H17" i="289"/>
  <c r="G17" i="289"/>
  <c r="F17" i="289"/>
  <c r="E17" i="289"/>
  <c r="D17" i="289"/>
  <c r="BB16" i="289"/>
  <c r="BA16" i="289"/>
  <c r="AZ16" i="289"/>
  <c r="AY16" i="289"/>
  <c r="AX16" i="289"/>
  <c r="AW16" i="289"/>
  <c r="AV16" i="289"/>
  <c r="AU16" i="289"/>
  <c r="AT16" i="289"/>
  <c r="AS16" i="289"/>
  <c r="AR16" i="289"/>
  <c r="AQ16" i="289"/>
  <c r="AP16" i="289"/>
  <c r="AO16" i="289"/>
  <c r="AN16" i="289"/>
  <c r="AM16" i="289"/>
  <c r="AL16" i="289"/>
  <c r="AK16" i="289"/>
  <c r="AJ16" i="289"/>
  <c r="AI16" i="289"/>
  <c r="AH16" i="289"/>
  <c r="AG16" i="289"/>
  <c r="AF16" i="289"/>
  <c r="Z16" i="289"/>
  <c r="Y16" i="289"/>
  <c r="X16" i="289"/>
  <c r="W16" i="289"/>
  <c r="V16" i="289"/>
  <c r="U16" i="289"/>
  <c r="T16" i="289"/>
  <c r="S16" i="289"/>
  <c r="R16" i="289"/>
  <c r="Q16" i="289"/>
  <c r="P16" i="289"/>
  <c r="O16" i="289"/>
  <c r="N16" i="289"/>
  <c r="M16" i="289"/>
  <c r="L16" i="289"/>
  <c r="K16" i="289"/>
  <c r="J16" i="289"/>
  <c r="I16" i="289"/>
  <c r="H16" i="289"/>
  <c r="G16" i="289"/>
  <c r="F16" i="289"/>
  <c r="E16" i="289"/>
  <c r="D16" i="289"/>
  <c r="BB15" i="289"/>
  <c r="BA15" i="289"/>
  <c r="AZ15" i="289"/>
  <c r="AY15" i="289"/>
  <c r="AX15" i="289"/>
  <c r="AW15" i="289"/>
  <c r="AV15" i="289"/>
  <c r="AU15" i="289"/>
  <c r="AT15" i="289"/>
  <c r="AS15" i="289"/>
  <c r="AR15" i="289"/>
  <c r="AQ15" i="289"/>
  <c r="AP15" i="289"/>
  <c r="AO15" i="289"/>
  <c r="AN15" i="289"/>
  <c r="AM15" i="289"/>
  <c r="AL15" i="289"/>
  <c r="AK15" i="289"/>
  <c r="AJ15" i="289"/>
  <c r="AI15" i="289"/>
  <c r="AH15" i="289"/>
  <c r="AG15" i="289"/>
  <c r="AF15" i="289"/>
  <c r="Z15" i="289"/>
  <c r="Y15" i="289"/>
  <c r="X15" i="289"/>
  <c r="W15" i="289"/>
  <c r="V15" i="289"/>
  <c r="U15" i="289"/>
  <c r="T15" i="289"/>
  <c r="S15" i="289"/>
  <c r="R15" i="289"/>
  <c r="Q15" i="289"/>
  <c r="P15" i="289"/>
  <c r="O15" i="289"/>
  <c r="N15" i="289"/>
  <c r="M15" i="289"/>
  <c r="L15" i="289"/>
  <c r="K15" i="289"/>
  <c r="J15" i="289"/>
  <c r="I15" i="289"/>
  <c r="H15" i="289"/>
  <c r="G15" i="289"/>
  <c r="F15" i="289"/>
  <c r="E15" i="289"/>
  <c r="D15" i="289"/>
  <c r="BB14" i="289"/>
  <c r="BA14" i="289"/>
  <c r="AZ14" i="289"/>
  <c r="AY14" i="289"/>
  <c r="AX14" i="289"/>
  <c r="AW14" i="289"/>
  <c r="AV14" i="289"/>
  <c r="AU14" i="289"/>
  <c r="AT14" i="289"/>
  <c r="AS14" i="289"/>
  <c r="AR14" i="289"/>
  <c r="AQ14" i="289"/>
  <c r="AP14" i="289"/>
  <c r="AO14" i="289"/>
  <c r="AN14" i="289"/>
  <c r="AM14" i="289"/>
  <c r="AL14" i="289"/>
  <c r="AK14" i="289"/>
  <c r="AJ14" i="289"/>
  <c r="AI14" i="289"/>
  <c r="AH14" i="289"/>
  <c r="AG14" i="289"/>
  <c r="AF14" i="289"/>
  <c r="Z14" i="289"/>
  <c r="Y14" i="289"/>
  <c r="X14" i="289"/>
  <c r="W14" i="289"/>
  <c r="V14" i="289"/>
  <c r="U14" i="289"/>
  <c r="T14" i="289"/>
  <c r="S14" i="289"/>
  <c r="R14" i="289"/>
  <c r="Q14" i="289"/>
  <c r="P14" i="289"/>
  <c r="O14" i="289"/>
  <c r="N14" i="289"/>
  <c r="M14" i="289"/>
  <c r="L14" i="289"/>
  <c r="K14" i="289"/>
  <c r="J14" i="289"/>
  <c r="I14" i="289"/>
  <c r="H14" i="289"/>
  <c r="G14" i="289"/>
  <c r="F14" i="289"/>
  <c r="E14" i="289"/>
  <c r="D14" i="289"/>
  <c r="BB13" i="289"/>
  <c r="BA13" i="289"/>
  <c r="AZ13" i="289"/>
  <c r="AY13" i="289"/>
  <c r="AX13" i="289"/>
  <c r="AW13" i="289"/>
  <c r="AV13" i="289"/>
  <c r="AU13" i="289"/>
  <c r="AT13" i="289"/>
  <c r="AS13" i="289"/>
  <c r="AR13" i="289"/>
  <c r="AQ13" i="289"/>
  <c r="AP13" i="289"/>
  <c r="AO13" i="289"/>
  <c r="AN13" i="289"/>
  <c r="AM13" i="289"/>
  <c r="AL13" i="289"/>
  <c r="AK13" i="289"/>
  <c r="AJ13" i="289"/>
  <c r="AI13" i="289"/>
  <c r="AH13" i="289"/>
  <c r="AG13" i="289"/>
  <c r="AF13" i="289"/>
  <c r="Z13" i="289"/>
  <c r="Y13" i="289"/>
  <c r="X13" i="289"/>
  <c r="W13" i="289"/>
  <c r="V13" i="289"/>
  <c r="U13" i="289"/>
  <c r="T13" i="289"/>
  <c r="S13" i="289"/>
  <c r="R13" i="289"/>
  <c r="Q13" i="289"/>
  <c r="P13" i="289"/>
  <c r="O13" i="289"/>
  <c r="N13" i="289"/>
  <c r="M13" i="289"/>
  <c r="L13" i="289"/>
  <c r="K13" i="289"/>
  <c r="J13" i="289"/>
  <c r="I13" i="289"/>
  <c r="H13" i="289"/>
  <c r="G13" i="289"/>
  <c r="F13" i="289"/>
  <c r="E13" i="289"/>
  <c r="D13" i="289"/>
  <c r="BB12" i="289"/>
  <c r="BA12" i="289"/>
  <c r="AZ12" i="289"/>
  <c r="AY12" i="289"/>
  <c r="AX12" i="289"/>
  <c r="AW12" i="289"/>
  <c r="AV12" i="289"/>
  <c r="AU12" i="289"/>
  <c r="AT12" i="289"/>
  <c r="AS12" i="289"/>
  <c r="AR12" i="289"/>
  <c r="AQ12" i="289"/>
  <c r="AP12" i="289"/>
  <c r="AO12" i="289"/>
  <c r="AN12" i="289"/>
  <c r="AM12" i="289"/>
  <c r="AL12" i="289"/>
  <c r="AK12" i="289"/>
  <c r="AJ12" i="289"/>
  <c r="AI12" i="289"/>
  <c r="AH12" i="289"/>
  <c r="AG12" i="289"/>
  <c r="AF12" i="289"/>
  <c r="Z12" i="289"/>
  <c r="Y12" i="289"/>
  <c r="X12" i="289"/>
  <c r="W12" i="289"/>
  <c r="V12" i="289"/>
  <c r="U12" i="289"/>
  <c r="T12" i="289"/>
  <c r="S12" i="289"/>
  <c r="R12" i="289"/>
  <c r="Q12" i="289"/>
  <c r="P12" i="289"/>
  <c r="O12" i="289"/>
  <c r="N12" i="289"/>
  <c r="M12" i="289"/>
  <c r="L12" i="289"/>
  <c r="K12" i="289"/>
  <c r="J12" i="289"/>
  <c r="I12" i="289"/>
  <c r="H12" i="289"/>
  <c r="G12" i="289"/>
  <c r="F12" i="289"/>
  <c r="E12" i="289"/>
  <c r="D12" i="289"/>
  <c r="BB11" i="289"/>
  <c r="BA11" i="289"/>
  <c r="AZ11" i="289"/>
  <c r="AY11" i="289"/>
  <c r="AX11" i="289"/>
  <c r="AW11" i="289"/>
  <c r="AV11" i="289"/>
  <c r="AU11" i="289"/>
  <c r="AT11" i="289"/>
  <c r="AS11" i="289"/>
  <c r="AR11" i="289"/>
  <c r="AQ11" i="289"/>
  <c r="AP11" i="289"/>
  <c r="AO11" i="289"/>
  <c r="AN11" i="289"/>
  <c r="AM11" i="289"/>
  <c r="AL11" i="289"/>
  <c r="AK11" i="289"/>
  <c r="AJ11" i="289"/>
  <c r="AI11" i="289"/>
  <c r="AH11" i="289"/>
  <c r="AG11" i="289"/>
  <c r="AF11" i="289"/>
  <c r="Z11" i="289"/>
  <c r="Y11" i="289"/>
  <c r="X11" i="289"/>
  <c r="W11" i="289"/>
  <c r="V11" i="289"/>
  <c r="U11" i="289"/>
  <c r="T11" i="289"/>
  <c r="S11" i="289"/>
  <c r="R11" i="289"/>
  <c r="Q11" i="289"/>
  <c r="P11" i="289"/>
  <c r="O11" i="289"/>
  <c r="N11" i="289"/>
  <c r="M11" i="289"/>
  <c r="L11" i="289"/>
  <c r="K11" i="289"/>
  <c r="J11" i="289"/>
  <c r="I11" i="289"/>
  <c r="H11" i="289"/>
  <c r="G11" i="289"/>
  <c r="F11" i="289"/>
  <c r="E11" i="289"/>
  <c r="D11" i="289"/>
  <c r="BB10" i="289"/>
  <c r="BA10" i="289"/>
  <c r="AZ10" i="289"/>
  <c r="AY10" i="289"/>
  <c r="AX10" i="289"/>
  <c r="AW10" i="289"/>
  <c r="AV10" i="289"/>
  <c r="AU10" i="289"/>
  <c r="AT10" i="289"/>
  <c r="AS10" i="289"/>
  <c r="AR10" i="289"/>
  <c r="AQ10" i="289"/>
  <c r="AP10" i="289"/>
  <c r="AO10" i="289"/>
  <c r="AN10" i="289"/>
  <c r="AM10" i="289"/>
  <c r="AL10" i="289"/>
  <c r="AK10" i="289"/>
  <c r="AJ10" i="289"/>
  <c r="AI10" i="289"/>
  <c r="AH10" i="289"/>
  <c r="AG10" i="289"/>
  <c r="AF10" i="289"/>
  <c r="Z10" i="289"/>
  <c r="Y10" i="289"/>
  <c r="X10" i="289"/>
  <c r="W10" i="289"/>
  <c r="V10" i="289"/>
  <c r="U10" i="289"/>
  <c r="T10" i="289"/>
  <c r="S10" i="289"/>
  <c r="R10" i="289"/>
  <c r="Q10" i="289"/>
  <c r="P10" i="289"/>
  <c r="O10" i="289"/>
  <c r="N10" i="289"/>
  <c r="M10" i="289"/>
  <c r="L10" i="289"/>
  <c r="K10" i="289"/>
  <c r="J10" i="289"/>
  <c r="I10" i="289"/>
  <c r="H10" i="289"/>
  <c r="G10" i="289"/>
  <c r="F10" i="289"/>
  <c r="E10" i="289"/>
  <c r="D10" i="289"/>
  <c r="BB9" i="289"/>
  <c r="BA9" i="289"/>
  <c r="AZ9" i="289"/>
  <c r="AY9" i="289"/>
  <c r="AX9" i="289"/>
  <c r="AW9" i="289"/>
  <c r="AV9" i="289"/>
  <c r="AU9" i="289"/>
  <c r="AT9" i="289"/>
  <c r="AS9" i="289"/>
  <c r="AR9" i="289"/>
  <c r="AQ9" i="289"/>
  <c r="AP9" i="289"/>
  <c r="AO9" i="289"/>
  <c r="AN9" i="289"/>
  <c r="AM9" i="289"/>
  <c r="AL9" i="289"/>
  <c r="AK9" i="289"/>
  <c r="AJ9" i="289"/>
  <c r="AI9" i="289"/>
  <c r="AH9" i="289"/>
  <c r="AG9" i="289"/>
  <c r="AF9" i="289"/>
  <c r="Z9" i="289"/>
  <c r="Y9" i="289"/>
  <c r="X9" i="289"/>
  <c r="W9" i="289"/>
  <c r="V9" i="289"/>
  <c r="U9" i="289"/>
  <c r="T9" i="289"/>
  <c r="S9" i="289"/>
  <c r="R9" i="289"/>
  <c r="Q9" i="289"/>
  <c r="P9" i="289"/>
  <c r="O9" i="289"/>
  <c r="N9" i="289"/>
  <c r="M9" i="289"/>
  <c r="L9" i="289"/>
  <c r="K9" i="289"/>
  <c r="J9" i="289"/>
  <c r="I9" i="289"/>
  <c r="H9" i="289"/>
  <c r="G9" i="289"/>
  <c r="F9" i="289"/>
  <c r="E9" i="289"/>
  <c r="D9" i="289"/>
  <c r="BB8" i="289"/>
  <c r="BA8" i="289"/>
  <c r="AZ8" i="289"/>
  <c r="AY8" i="289"/>
  <c r="AX8" i="289"/>
  <c r="AW8" i="289"/>
  <c r="AV8" i="289"/>
  <c r="AU8" i="289"/>
  <c r="AT8" i="289"/>
  <c r="AS8" i="289"/>
  <c r="AR8" i="289"/>
  <c r="AQ8" i="289"/>
  <c r="AP8" i="289"/>
  <c r="AO8" i="289"/>
  <c r="AN8" i="289"/>
  <c r="AM8" i="289"/>
  <c r="AL8" i="289"/>
  <c r="AK8" i="289"/>
  <c r="AJ8" i="289"/>
  <c r="AI8" i="289"/>
  <c r="AH8" i="289"/>
  <c r="AG8" i="289"/>
  <c r="AF8" i="289"/>
  <c r="Z8" i="289"/>
  <c r="Y8" i="289"/>
  <c r="X8" i="289"/>
  <c r="W8" i="289"/>
  <c r="V8" i="289"/>
  <c r="U8" i="289"/>
  <c r="T8" i="289"/>
  <c r="S8" i="289"/>
  <c r="R8" i="289"/>
  <c r="Q8" i="289"/>
  <c r="P8" i="289"/>
  <c r="O8" i="289"/>
  <c r="N8" i="289"/>
  <c r="M8" i="289"/>
  <c r="L8" i="289"/>
  <c r="K8" i="289"/>
  <c r="J8" i="289"/>
  <c r="I8" i="289"/>
  <c r="H8" i="289"/>
  <c r="G8" i="289"/>
  <c r="F8" i="289"/>
  <c r="E8" i="289"/>
  <c r="D8" i="289"/>
  <c r="BB7" i="289"/>
  <c r="BA7" i="289"/>
  <c r="AZ7" i="289"/>
  <c r="AY7" i="289"/>
  <c r="AX7" i="289"/>
  <c r="AW7" i="289"/>
  <c r="AV7" i="289"/>
  <c r="AU7" i="289"/>
  <c r="AT7" i="289"/>
  <c r="AS7" i="289"/>
  <c r="AR7" i="289"/>
  <c r="AQ7" i="289"/>
  <c r="AP7" i="289"/>
  <c r="AO7" i="289"/>
  <c r="AN7" i="289"/>
  <c r="AM7" i="289"/>
  <c r="AL7" i="289"/>
  <c r="AK7" i="289"/>
  <c r="AJ7" i="289"/>
  <c r="AI7" i="289"/>
  <c r="AH7" i="289"/>
  <c r="AG7" i="289"/>
  <c r="AF7" i="289"/>
  <c r="BB6" i="289"/>
  <c r="BA6" i="289"/>
  <c r="AZ6" i="289"/>
  <c r="AY6" i="289"/>
  <c r="AX6" i="289"/>
  <c r="AW6" i="289"/>
  <c r="AV6" i="289"/>
  <c r="AU6" i="289"/>
  <c r="AT6" i="289"/>
  <c r="AS6" i="289"/>
  <c r="AR6" i="289"/>
  <c r="AQ6" i="289"/>
  <c r="AP6" i="289"/>
  <c r="AO6" i="289"/>
  <c r="AN6" i="289"/>
  <c r="AM6" i="289"/>
  <c r="AL6" i="289"/>
  <c r="AK6" i="289"/>
  <c r="AJ6" i="289"/>
  <c r="AI6" i="289"/>
  <c r="AH6" i="289"/>
  <c r="AG6" i="289"/>
  <c r="AF6" i="289"/>
  <c r="BB5" i="289"/>
  <c r="BA5" i="289"/>
  <c r="AZ5" i="289"/>
  <c r="AY5" i="289"/>
  <c r="AX5" i="289"/>
  <c r="AW5" i="289"/>
  <c r="AV5" i="289"/>
  <c r="AU5" i="289"/>
  <c r="AT5" i="289"/>
  <c r="AS5" i="289"/>
  <c r="AR5" i="289"/>
  <c r="AQ5" i="289"/>
  <c r="AP5" i="289"/>
  <c r="AO5" i="289"/>
  <c r="AN5" i="289"/>
  <c r="AM5" i="289"/>
  <c r="AL5" i="289"/>
  <c r="AK5" i="289"/>
  <c r="AJ5" i="289"/>
  <c r="AI5" i="289"/>
  <c r="AH5" i="289"/>
  <c r="AG5" i="289"/>
  <c r="AF5" i="289"/>
  <c r="BB4" i="289"/>
  <c r="BA4" i="289"/>
  <c r="AZ4" i="289"/>
  <c r="AY4" i="289"/>
  <c r="AX4" i="289"/>
  <c r="AW4" i="289"/>
  <c r="AV4" i="289"/>
  <c r="AU4" i="289"/>
  <c r="AT4" i="289"/>
  <c r="AS4" i="289"/>
  <c r="AR4" i="289"/>
  <c r="AQ4" i="289"/>
  <c r="AP4" i="289"/>
  <c r="AO4" i="289"/>
  <c r="AN4" i="289"/>
  <c r="AM4" i="289"/>
  <c r="AL4" i="289"/>
  <c r="AK4" i="289"/>
  <c r="AJ4" i="289"/>
  <c r="AI4" i="289"/>
  <c r="AH4" i="289"/>
  <c r="AG4" i="289"/>
  <c r="AF4" i="289"/>
  <c r="BB3" i="289"/>
  <c r="BA3" i="289"/>
  <c r="AZ3" i="289"/>
  <c r="AY3" i="289"/>
  <c r="AX3" i="289"/>
  <c r="AW3" i="289"/>
  <c r="AV3" i="289"/>
  <c r="AU3" i="289"/>
  <c r="AT3" i="289"/>
  <c r="AS3" i="289"/>
  <c r="AR3" i="289"/>
  <c r="AQ3" i="289"/>
  <c r="AP3" i="289"/>
  <c r="AO3" i="289"/>
  <c r="AN3" i="289"/>
  <c r="AM3" i="289"/>
  <c r="AL3" i="289"/>
  <c r="AK3" i="289"/>
  <c r="AJ3" i="289"/>
  <c r="AI3" i="289"/>
  <c r="AH3" i="289"/>
  <c r="AG3" i="289"/>
  <c r="AF3" i="289"/>
  <c r="BB2" i="289"/>
  <c r="BA2" i="289"/>
  <c r="AZ2" i="289"/>
  <c r="AY2" i="289"/>
  <c r="AX2" i="289"/>
  <c r="AW2" i="289"/>
  <c r="AV2" i="289"/>
  <c r="AU2" i="289"/>
  <c r="AT2" i="289"/>
  <c r="AS2" i="289"/>
  <c r="AR2" i="289"/>
  <c r="AQ2" i="289"/>
  <c r="AP2" i="289"/>
  <c r="AO2" i="289"/>
  <c r="AN2" i="289"/>
  <c r="AM2" i="289"/>
  <c r="AL2" i="289"/>
  <c r="AK2" i="289"/>
  <c r="AJ2" i="289"/>
  <c r="AI2" i="289"/>
  <c r="AH2" i="289"/>
  <c r="AG2" i="289"/>
  <c r="AF2" i="289"/>
  <c r="M34" i="290"/>
  <c r="L34" i="290"/>
  <c r="K34" i="290"/>
  <c r="G34" i="290"/>
  <c r="M33" i="290"/>
  <c r="L33" i="290"/>
  <c r="K33" i="290"/>
  <c r="G33" i="290"/>
  <c r="M32" i="290"/>
  <c r="L32" i="290"/>
  <c r="K32" i="290"/>
  <c r="G32" i="290"/>
  <c r="M31" i="290"/>
  <c r="L31" i="290"/>
  <c r="K31" i="290"/>
  <c r="G31" i="290"/>
  <c r="M30" i="290"/>
  <c r="L30" i="290"/>
  <c r="K30" i="290"/>
  <c r="G30" i="290"/>
  <c r="M29" i="290"/>
  <c r="L29" i="290"/>
  <c r="K29" i="290"/>
  <c r="G29" i="290"/>
  <c r="M28" i="290"/>
  <c r="L28" i="290"/>
  <c r="K28" i="290"/>
  <c r="G28" i="290"/>
  <c r="M27" i="290"/>
  <c r="L27" i="290"/>
  <c r="K27" i="290"/>
  <c r="G27" i="290"/>
  <c r="M26" i="290"/>
  <c r="L26" i="290"/>
  <c r="K26" i="290"/>
  <c r="G26" i="290"/>
  <c r="M25" i="290"/>
  <c r="L25" i="290"/>
  <c r="K25" i="290"/>
  <c r="G25" i="290"/>
  <c r="M24" i="290"/>
  <c r="L24" i="290"/>
  <c r="K24" i="290"/>
  <c r="G24" i="290"/>
  <c r="M23" i="290"/>
  <c r="L23" i="290"/>
  <c r="K23" i="290"/>
  <c r="G23" i="290"/>
  <c r="BF22" i="290"/>
  <c r="BE22" i="290"/>
  <c r="BD22" i="290"/>
  <c r="BC22" i="290"/>
  <c r="AZ22" i="290"/>
  <c r="AY22" i="290"/>
  <c r="AX22" i="290"/>
  <c r="AW22" i="290"/>
  <c r="AN22" i="290"/>
  <c r="AM22" i="290"/>
  <c r="AL22" i="290"/>
  <c r="AK22" i="290"/>
  <c r="AH22" i="290"/>
  <c r="AG22" i="290"/>
  <c r="AF22" i="290"/>
  <c r="AE22" i="290"/>
  <c r="M22" i="290"/>
  <c r="L22" i="290"/>
  <c r="K22" i="290"/>
  <c r="G22" i="290"/>
  <c r="BF21" i="290"/>
  <c r="BE21" i="290"/>
  <c r="BD21" i="290"/>
  <c r="BC21" i="290"/>
  <c r="AZ21" i="290"/>
  <c r="AY21" i="290"/>
  <c r="AX21" i="290"/>
  <c r="AW21" i="290"/>
  <c r="AN21" i="290"/>
  <c r="AM21" i="290"/>
  <c r="AL21" i="290"/>
  <c r="AK21" i="290"/>
  <c r="AH21" i="290"/>
  <c r="AG21" i="290"/>
  <c r="AF21" i="290"/>
  <c r="AE21" i="290"/>
  <c r="M21" i="290"/>
  <c r="L21" i="290"/>
  <c r="K21" i="290"/>
  <c r="G21" i="290"/>
  <c r="BF20" i="290"/>
  <c r="BE20" i="290"/>
  <c r="BD20" i="290"/>
  <c r="BC20" i="290"/>
  <c r="AZ20" i="290"/>
  <c r="AY20" i="290"/>
  <c r="AX20" i="290"/>
  <c r="AW20" i="290"/>
  <c r="AN20" i="290"/>
  <c r="AM20" i="290"/>
  <c r="AL20" i="290"/>
  <c r="AK20" i="290"/>
  <c r="AH20" i="290"/>
  <c r="AG20" i="290"/>
  <c r="AF20" i="290"/>
  <c r="AE20" i="290"/>
  <c r="M20" i="290"/>
  <c r="L20" i="290"/>
  <c r="K20" i="290"/>
  <c r="G20" i="290"/>
  <c r="BF19" i="290"/>
  <c r="BE19" i="290"/>
  <c r="BD19" i="290"/>
  <c r="BC19" i="290"/>
  <c r="AZ19" i="290"/>
  <c r="AY19" i="290"/>
  <c r="AX19" i="290"/>
  <c r="AW19" i="290"/>
  <c r="AN19" i="290"/>
  <c r="AM19" i="290"/>
  <c r="AL19" i="290"/>
  <c r="AK19" i="290"/>
  <c r="AH19" i="290"/>
  <c r="AG19" i="290"/>
  <c r="AF19" i="290"/>
  <c r="AE19" i="290"/>
  <c r="M19" i="290"/>
  <c r="L19" i="290"/>
  <c r="K19" i="290"/>
  <c r="G19" i="290"/>
  <c r="BF18" i="290"/>
  <c r="BE18" i="290"/>
  <c r="BD18" i="290"/>
  <c r="BC18" i="290"/>
  <c r="AZ18" i="290"/>
  <c r="AY18" i="290"/>
  <c r="AX18" i="290"/>
  <c r="AW18" i="290"/>
  <c r="AN18" i="290"/>
  <c r="AM18" i="290"/>
  <c r="AL18" i="290"/>
  <c r="AK18" i="290"/>
  <c r="AH18" i="290"/>
  <c r="AG18" i="290"/>
  <c r="AF18" i="290"/>
  <c r="AE18" i="290"/>
  <c r="M18" i="290"/>
  <c r="L18" i="290"/>
  <c r="K18" i="290"/>
  <c r="G18" i="290"/>
  <c r="BF17" i="290"/>
  <c r="BE17" i="290"/>
  <c r="BD17" i="290"/>
  <c r="BC17" i="290"/>
  <c r="AZ17" i="290"/>
  <c r="AY17" i="290"/>
  <c r="AX17" i="290"/>
  <c r="AW17" i="290"/>
  <c r="AN17" i="290"/>
  <c r="AM17" i="290"/>
  <c r="AL17" i="290"/>
  <c r="AK17" i="290"/>
  <c r="AH17" i="290"/>
  <c r="AG17" i="290"/>
  <c r="AF17" i="290"/>
  <c r="AE17" i="290"/>
  <c r="M17" i="290"/>
  <c r="L17" i="290"/>
  <c r="K17" i="290"/>
  <c r="G17" i="290"/>
  <c r="BF16" i="290"/>
  <c r="BE16" i="290"/>
  <c r="BD16" i="290"/>
  <c r="BC16" i="290"/>
  <c r="AZ16" i="290"/>
  <c r="AY16" i="290"/>
  <c r="AX16" i="290"/>
  <c r="AW16" i="290"/>
  <c r="AN16" i="290"/>
  <c r="AM16" i="290"/>
  <c r="AL16" i="290"/>
  <c r="AK16" i="290"/>
  <c r="AH16" i="290"/>
  <c r="AG16" i="290"/>
  <c r="AF16" i="290"/>
  <c r="AE16" i="290"/>
  <c r="M16" i="290"/>
  <c r="L16" i="290"/>
  <c r="K16" i="290"/>
  <c r="G16" i="290"/>
  <c r="BF15" i="290"/>
  <c r="BE15" i="290"/>
  <c r="BD15" i="290"/>
  <c r="BC15" i="290"/>
  <c r="AZ15" i="290"/>
  <c r="AY15" i="290"/>
  <c r="AX15" i="290"/>
  <c r="AW15" i="290"/>
  <c r="AN15" i="290"/>
  <c r="AM15" i="290"/>
  <c r="AL15" i="290"/>
  <c r="AK15" i="290"/>
  <c r="AH15" i="290"/>
  <c r="AG15" i="290"/>
  <c r="AF15" i="290"/>
  <c r="AE15" i="290"/>
  <c r="M15" i="290"/>
  <c r="L15" i="290"/>
  <c r="K15" i="290"/>
  <c r="G15" i="290"/>
  <c r="BF14" i="290"/>
  <c r="BE14" i="290"/>
  <c r="BD14" i="290"/>
  <c r="BC14" i="290"/>
  <c r="AZ14" i="290"/>
  <c r="AY14" i="290"/>
  <c r="AX14" i="290"/>
  <c r="AW14" i="290"/>
  <c r="AN14" i="290"/>
  <c r="AM14" i="290"/>
  <c r="AL14" i="290"/>
  <c r="AK14" i="290"/>
  <c r="AH14" i="290"/>
  <c r="AG14" i="290"/>
  <c r="AF14" i="290"/>
  <c r="AE14" i="290"/>
  <c r="M14" i="290"/>
  <c r="L14" i="290"/>
  <c r="K14" i="290"/>
  <c r="G14" i="290"/>
  <c r="BF13" i="290"/>
  <c r="BE13" i="290"/>
  <c r="BD13" i="290"/>
  <c r="BC13" i="290"/>
  <c r="AZ13" i="290"/>
  <c r="AY13" i="290"/>
  <c r="AX13" i="290"/>
  <c r="AW13" i="290"/>
  <c r="AN13" i="290"/>
  <c r="AM13" i="290"/>
  <c r="AL13" i="290"/>
  <c r="AK13" i="290"/>
  <c r="AH13" i="290"/>
  <c r="AG13" i="290"/>
  <c r="AF13" i="290"/>
  <c r="AE13" i="290"/>
  <c r="M13" i="290"/>
  <c r="L13" i="290"/>
  <c r="K13" i="290"/>
  <c r="G13" i="290"/>
  <c r="BF12" i="290"/>
  <c r="BE12" i="290"/>
  <c r="BD12" i="290"/>
  <c r="BC12" i="290"/>
  <c r="AZ12" i="290"/>
  <c r="AY12" i="290"/>
  <c r="AX12" i="290"/>
  <c r="AW12" i="290"/>
  <c r="AN12" i="290"/>
  <c r="AM12" i="290"/>
  <c r="AL12" i="290"/>
  <c r="AK12" i="290"/>
  <c r="AH12" i="290"/>
  <c r="AG12" i="290"/>
  <c r="AF12" i="290"/>
  <c r="AE12" i="290"/>
  <c r="M12" i="290"/>
  <c r="L12" i="290"/>
  <c r="K12" i="290"/>
  <c r="G12" i="290"/>
  <c r="BF11" i="290"/>
  <c r="BE11" i="290"/>
  <c r="BD11" i="290"/>
  <c r="BC11" i="290"/>
  <c r="AZ11" i="290"/>
  <c r="AY11" i="290"/>
  <c r="AX11" i="290"/>
  <c r="AW11" i="290"/>
  <c r="AN11" i="290"/>
  <c r="AM11" i="290"/>
  <c r="AL11" i="290"/>
  <c r="AK11" i="290"/>
  <c r="AH11" i="290"/>
  <c r="AG11" i="290"/>
  <c r="AF11" i="290"/>
  <c r="AE11" i="290"/>
  <c r="M11" i="290"/>
  <c r="L11" i="290"/>
  <c r="K11" i="290"/>
  <c r="G11" i="290"/>
  <c r="BF10" i="290"/>
  <c r="BE10" i="290"/>
  <c r="BD10" i="290"/>
  <c r="BC10" i="290"/>
  <c r="AZ10" i="290"/>
  <c r="AY10" i="290"/>
  <c r="AX10" i="290"/>
  <c r="AW10" i="290"/>
  <c r="AN10" i="290"/>
  <c r="AM10" i="290"/>
  <c r="AL10" i="290"/>
  <c r="AK10" i="290"/>
  <c r="AH10" i="290"/>
  <c r="AG10" i="290"/>
  <c r="AF10" i="290"/>
  <c r="AE10" i="290"/>
  <c r="M10" i="290"/>
  <c r="L10" i="290"/>
  <c r="K10" i="290"/>
  <c r="G10" i="290"/>
  <c r="BF9" i="290"/>
  <c r="BE9" i="290"/>
  <c r="BD9" i="290"/>
  <c r="BC9" i="290"/>
  <c r="AZ9" i="290"/>
  <c r="AY9" i="290"/>
  <c r="AX9" i="290"/>
  <c r="AW9" i="290"/>
  <c r="AN9" i="290"/>
  <c r="AM9" i="290"/>
  <c r="AL9" i="290"/>
  <c r="AK9" i="290"/>
  <c r="AH9" i="290"/>
  <c r="AG9" i="290"/>
  <c r="AF9" i="290"/>
  <c r="AE9" i="290"/>
  <c r="M9" i="290"/>
  <c r="L9" i="290"/>
  <c r="K9" i="290"/>
  <c r="G9" i="290"/>
  <c r="BF8" i="290"/>
  <c r="BE8" i="290"/>
  <c r="BD8" i="290"/>
  <c r="BC8" i="290"/>
  <c r="AZ8" i="290"/>
  <c r="AY8" i="290"/>
  <c r="AX8" i="290"/>
  <c r="AW8" i="290"/>
  <c r="AN8" i="290"/>
  <c r="AM8" i="290"/>
  <c r="AL8" i="290"/>
  <c r="AK8" i="290"/>
  <c r="AH8" i="290"/>
  <c r="AG8" i="290"/>
  <c r="AF8" i="290"/>
  <c r="AE8" i="290"/>
  <c r="M8" i="290"/>
  <c r="L8" i="290"/>
  <c r="K8" i="290"/>
  <c r="G8" i="290"/>
  <c r="BF7" i="290"/>
  <c r="BE7" i="290"/>
  <c r="BD7" i="290"/>
  <c r="BC7" i="290"/>
  <c r="AZ7" i="290"/>
  <c r="AY7" i="290"/>
  <c r="AX7" i="290"/>
  <c r="AW7" i="290"/>
  <c r="AN7" i="290"/>
  <c r="AM7" i="290"/>
  <c r="AL7" i="290"/>
  <c r="AK7" i="290"/>
  <c r="AH7" i="290"/>
  <c r="AG7" i="290"/>
  <c r="AF7" i="290"/>
  <c r="AE7" i="290"/>
  <c r="M7" i="290"/>
  <c r="L7" i="290"/>
  <c r="K7" i="290"/>
  <c r="G7" i="290"/>
  <c r="BF6" i="290"/>
  <c r="BE6" i="290"/>
  <c r="BD6" i="290"/>
  <c r="BC6" i="290"/>
  <c r="AZ6" i="290"/>
  <c r="AY6" i="290"/>
  <c r="AX6" i="290"/>
  <c r="AW6" i="290"/>
  <c r="AN6" i="290"/>
  <c r="AM6" i="290"/>
  <c r="AL6" i="290"/>
  <c r="AK6" i="290"/>
  <c r="AH6" i="290"/>
  <c r="AG6" i="290"/>
  <c r="AF6" i="290"/>
  <c r="AE6" i="290"/>
  <c r="M6" i="290"/>
  <c r="L6" i="290"/>
  <c r="K6" i="290"/>
  <c r="G6" i="290"/>
  <c r="BF5" i="290"/>
  <c r="BE5" i="290"/>
  <c r="BD5" i="290"/>
  <c r="BC5" i="290"/>
  <c r="AZ5" i="290"/>
  <c r="AY5" i="290"/>
  <c r="AX5" i="290"/>
  <c r="AW5" i="290"/>
  <c r="AN5" i="290"/>
  <c r="AM5" i="290"/>
  <c r="AL5" i="290"/>
  <c r="AK5" i="290"/>
  <c r="AH5" i="290"/>
  <c r="AG5" i="290"/>
  <c r="AF5" i="290"/>
  <c r="AE5" i="290"/>
  <c r="M5" i="290"/>
  <c r="L5" i="290"/>
  <c r="K5" i="290"/>
  <c r="G5" i="290"/>
  <c r="BF4" i="290"/>
  <c r="BE4" i="290"/>
  <c r="BD4" i="290"/>
  <c r="BC4" i="290"/>
  <c r="AZ4" i="290"/>
  <c r="AY4" i="290"/>
  <c r="AX4" i="290"/>
  <c r="AW4" i="290"/>
  <c r="AN4" i="290"/>
  <c r="AM4" i="290"/>
  <c r="AL4" i="290"/>
  <c r="AK4" i="290"/>
  <c r="AH4" i="290"/>
  <c r="AG4" i="290"/>
  <c r="AF4" i="290"/>
  <c r="AE4" i="290"/>
  <c r="M4" i="290"/>
  <c r="L4" i="290"/>
  <c r="K4" i="290"/>
  <c r="G4" i="290"/>
  <c r="M3" i="290"/>
  <c r="L3" i="290"/>
  <c r="K3" i="290"/>
  <c r="G3" i="290"/>
  <c r="XFD3" i="271"/>
  <c r="XEV1" i="271"/>
  <c r="F1" i="271"/>
  <c r="E1" i="271"/>
  <c r="H1" i="273"/>
</calcChain>
</file>

<file path=xl/sharedStrings.xml><?xml version="1.0" encoding="utf-8"?>
<sst xmlns="http://schemas.openxmlformats.org/spreadsheetml/2006/main" count="1445" uniqueCount="534">
  <si>
    <t>SELLADO</t>
  </si>
  <si>
    <t>INSTRUMENTACION</t>
  </si>
  <si>
    <t>FLEXIBLE</t>
  </si>
  <si>
    <t>JUNTAS METÁLICAS</t>
  </si>
  <si>
    <t>JUNTAS DE CAUCHO</t>
  </si>
  <si>
    <t>MANGUERA METALICA FLEXIBLE</t>
  </si>
  <si>
    <t>KITS</t>
  </si>
  <si>
    <t>TIPO W</t>
  </si>
  <si>
    <t>TIPO MW</t>
  </si>
  <si>
    <t>LAMINAS SOFT</t>
  </si>
  <si>
    <t>ENCHAQUETADOS</t>
  </si>
  <si>
    <t>RING JOINTS</t>
  </si>
  <si>
    <t>ESPARRAGOS</t>
  </si>
  <si>
    <t>ESPIROMETÁLICOS</t>
  </si>
  <si>
    <t>MANOMETROS</t>
  </si>
  <si>
    <t>SELLOS</t>
  </si>
  <si>
    <t>JUNTA DE EXPANSIÓN AXIAL SIMPLE</t>
  </si>
  <si>
    <t>JUNTA DE EXPANSIÓN AXIAL CON TENSORES</t>
  </si>
  <si>
    <t>JUNTA DE EXPANSIÓN BISAGRA SIMPLE</t>
  </si>
  <si>
    <t>JUNTA DE EXPANSIÓN CARDANICA SIMPLE</t>
  </si>
  <si>
    <t>JUNTA DE EXPANSIÓN UNIVERSAL SIMPLE</t>
  </si>
  <si>
    <t>JUNTA DE EXPANSIÓN UNIVERSAL SIMPLE CON TENSORES</t>
  </si>
  <si>
    <t>JUNTA DE EXPANSIÓN UNIVERSAL DE BISAGRA</t>
  </si>
  <si>
    <t>JUNTA DE EXPANSIÓN UNIVERSAL CARDANICA</t>
  </si>
  <si>
    <t>JUNTA DE EXPANSIÓN ANTIPANDEO</t>
  </si>
  <si>
    <t>JUNTA DE EXPANSIÓN AUTOCOMPENSADA</t>
  </si>
  <si>
    <t>JUNTA ANTIVIBRATORIA SIMPLE</t>
  </si>
  <si>
    <t>JUNTA ANTIVIBRATORIA CON TENSORES</t>
  </si>
  <si>
    <t>JUNTA ANTIVIBRATORIA DOBLE</t>
  </si>
  <si>
    <t>JUNTA ANTIVIBRATORIA DOBLE CON TENSORES</t>
  </si>
  <si>
    <t xml:space="preserve">JUNTA ANTIVIBRATORIA DE CAUCHO </t>
  </si>
  <si>
    <t>JUNTA ANTIVIBRATORIA DE CAUCHO CON TENSORES</t>
  </si>
  <si>
    <t>JUNTA ANTIVIBRATORIA DOBLE DE CAUCHO</t>
  </si>
  <si>
    <t>JUNTA ANTIVIBRATORIA DOBLE DE CAUCHO CON TENSORES</t>
  </si>
  <si>
    <t>JUNTA DE EXPANSIÓN AXIAL RECTANGULAR</t>
  </si>
  <si>
    <t>JUNTA DE EXPANSIÓN AXIAL RECTANGULAR DOBLE</t>
  </si>
  <si>
    <t>JUNTA DE EXPANSIÓN AXIAL HEXAGONAL DOBLE</t>
  </si>
  <si>
    <t>JUNTA DE EXPANSIÓN AXIAL OCTOGONAL</t>
  </si>
  <si>
    <t>JUNTA DE EXPANSIÓN AXIAL OCTOGONAL DOBLE</t>
  </si>
  <si>
    <t>JUNTA DE EXPANSIÓN AXIAL CIRCULAR</t>
  </si>
  <si>
    <t>JUNTA DE EXPANSIÓN AXIAL CIRCULAR DOBLE</t>
  </si>
  <si>
    <t>COMPENSADOR TIPO A PLANO 20.058</t>
  </si>
  <si>
    <t>COMPENSADOR TIPO B PLANO 20.058-3</t>
  </si>
  <si>
    <t>COMPENSADOR TIPO C PLANO 20.058-1</t>
  </si>
  <si>
    <t xml:space="preserve">COMPENSADOR TIPO D PLANO 20.058-2  </t>
  </si>
  <si>
    <t>COMPENSADOR TIPO E PLANO 20.058-4</t>
  </si>
  <si>
    <t>MANGUERA METÁLICA FLEXIBLE SIN MALLA</t>
  </si>
  <si>
    <t>MANGUERA METÁLICA FLEXIBLE</t>
  </si>
  <si>
    <t>MANGUERA METÁLICA FLEXIBLE DOBLE MALLA</t>
  </si>
  <si>
    <t>MANGUERA METÁLICA FLEXIBLE TRIPLE MALLA</t>
  </si>
  <si>
    <t>MANGUERA METÁLICA FLEXIBLE CUATRO MALLAS</t>
  </si>
  <si>
    <t>MANGUERA METÁLICA FLEXIBLE SIN MALLA CON TENSORES</t>
  </si>
  <si>
    <t>MANGUERA METÁLICA FLEXIBLE CON TENSORES</t>
  </si>
  <si>
    <t>MANGUERA METÁLICA FLEXIBLE 2 MALLAS CON TENSORES</t>
  </si>
  <si>
    <t>MANGUERA METÁLICA FLEXIBLE 3 MALLAS CON TENSORES</t>
  </si>
  <si>
    <t>MANGUERA METÁLICA FLEXIBLE 4 MALLAS CON TENSORES</t>
  </si>
  <si>
    <t>MANGUERA METÁLICA FLEXIBLE FLEXILOOP</t>
  </si>
  <si>
    <t>MANGUERA METÁLICA FLEXIBLE FLEXILOOP DOBLE MALLA</t>
  </si>
  <si>
    <t>MANGUERA DE TEFLÓN</t>
  </si>
  <si>
    <t>MANGUERA DE CAUCHO</t>
  </si>
  <si>
    <t>JUNTA DE CAUCHO JEBA 313</t>
  </si>
  <si>
    <t>JUNTA DE CAUCHO JEBS 303</t>
  </si>
  <si>
    <t>JUNTA DE CAUCHO JEBX-I</t>
  </si>
  <si>
    <t>JUNTA DE DJE-02</t>
  </si>
  <si>
    <t>JUNTA DE DJE-03</t>
  </si>
  <si>
    <t>JUNTA DE DJE-04</t>
  </si>
  <si>
    <t>JUNTA DE DJE-05</t>
  </si>
  <si>
    <t>JUNTA DE CAUCHO JEBTU</t>
  </si>
  <si>
    <t>JUNTA DE CAUCHO JEBWA</t>
  </si>
  <si>
    <t>JUNTA DE CAUCHO JEB-FLEX</t>
  </si>
  <si>
    <t>JUNTA DE CAUCHO JEBS-LD</t>
  </si>
  <si>
    <t>JUNTA DE CAUCHO JEB-FLEX-DA</t>
  </si>
  <si>
    <t>JUNTA DE CAUCHO JEBA 313 CON TENSORES</t>
  </si>
  <si>
    <t>JUNTA DE CAUCHO JEBS 303 CON TENSORES</t>
  </si>
  <si>
    <t>JUNTA DE CAUCHO JEBX-I CON TENSORES</t>
  </si>
  <si>
    <t>JUNTA DE CAUCHO JEBTU CON TENSORES</t>
  </si>
  <si>
    <t>JUNTA DE CAUCHO JEBWA CON TENSORES</t>
  </si>
  <si>
    <t>JUNTA DE CAUCHO JEB-FLEX CON TENSORES</t>
  </si>
  <si>
    <t>JUNTA DE CAUCHO JEBS-LD CON TENSORES</t>
  </si>
  <si>
    <t>JUNTA DE CAUCHO JEB-FLEX-DA CON TENSORES</t>
  </si>
  <si>
    <t>JUNTA DE CAUCHO JEBA 313 DOBLE</t>
  </si>
  <si>
    <t>JUNTA DE CAUCHO JEBS 303 DOBLE</t>
  </si>
  <si>
    <t>JUNTA DE CAUCHO JEBX-I DOBLE</t>
  </si>
  <si>
    <t>JUNTA DE CAUCHO JEBTU DOBLE</t>
  </si>
  <si>
    <t>JUNTA DE CAUCHO JEBWA DOBLE</t>
  </si>
  <si>
    <t>JUNTA DE CAUCHO JEB-FLEX DOBLE</t>
  </si>
  <si>
    <t>JUNTA DE CAUCHO JEBS-LD DOBLE</t>
  </si>
  <si>
    <t>JUNTA DE CAUCHO JEB-FLEX-DA DOBLE</t>
  </si>
  <si>
    <t xml:space="preserve"> 1/2</t>
  </si>
  <si>
    <t xml:space="preserve"> 3/4</t>
  </si>
  <si>
    <t>1.1/4</t>
  </si>
  <si>
    <t>1.1/2</t>
  </si>
  <si>
    <t>2.1/2</t>
  </si>
  <si>
    <t>FLEXISOFT</t>
  </si>
  <si>
    <t>FLEXIAGRA</t>
  </si>
  <si>
    <t>FLEXIFENOL</t>
  </si>
  <si>
    <t>DINAGRA</t>
  </si>
  <si>
    <t>DE</t>
  </si>
  <si>
    <t>DI</t>
  </si>
  <si>
    <t>ESPESOR</t>
  </si>
  <si>
    <t>EJE MAYOR</t>
  </si>
  <si>
    <t>EJE MEJOR</t>
  </si>
  <si>
    <t>ANCHO</t>
  </si>
  <si>
    <t>ESPECIALES</t>
  </si>
  <si>
    <t>NORMALIZADOS</t>
  </si>
  <si>
    <t>MATERIAL</t>
  </si>
  <si>
    <t>CLASE</t>
  </si>
  <si>
    <t>TIPO</t>
  </si>
  <si>
    <t>DN</t>
  </si>
  <si>
    <t>BELPA CSA 320</t>
  </si>
  <si>
    <t>BLUE GR 350</t>
  </si>
  <si>
    <t>BELPA CSA 28</t>
  </si>
  <si>
    <t>BELPA CSA 28G</t>
  </si>
  <si>
    <t>ASBESTO G</t>
  </si>
  <si>
    <t>ASBESTO MG</t>
  </si>
  <si>
    <t>NO ASBESTO MG</t>
  </si>
  <si>
    <t>BELPA CSA 50</t>
  </si>
  <si>
    <t>BELPA CSA 50MG</t>
  </si>
  <si>
    <t>BELPAFLON PL 9005</t>
  </si>
  <si>
    <t>BELPA CSA 120</t>
  </si>
  <si>
    <t>BELPAMICA</t>
  </si>
  <si>
    <t>PTFE</t>
  </si>
  <si>
    <t>GRAFITO TANGED</t>
  </si>
  <si>
    <t>GRAFITO PLANE</t>
  </si>
  <si>
    <t>GRAFITO PURO</t>
  </si>
  <si>
    <t>L 443</t>
  </si>
  <si>
    <t>L104</t>
  </si>
  <si>
    <t>L110</t>
  </si>
  <si>
    <t>L441</t>
  </si>
  <si>
    <t>BELPA CSA 90</t>
  </si>
  <si>
    <t>SF 5000</t>
  </si>
  <si>
    <t>BELPAFRAF</t>
  </si>
  <si>
    <t>BELPA CSA 45</t>
  </si>
  <si>
    <t>BELPA ACID</t>
  </si>
  <si>
    <t>x</t>
  </si>
  <si>
    <t>BELPA CSA 520</t>
  </si>
  <si>
    <t>BELPA CSA 25</t>
  </si>
  <si>
    <t>RF</t>
  </si>
  <si>
    <t>FF</t>
  </si>
  <si>
    <t>CANTIDAD</t>
  </si>
  <si>
    <t>EPDM</t>
  </si>
  <si>
    <t>NITRILO</t>
  </si>
  <si>
    <t>NEOPRENO</t>
  </si>
  <si>
    <t>VITON</t>
  </si>
  <si>
    <t>CIRCULAR CIEGO</t>
  </si>
  <si>
    <t>RECTANGULAR</t>
  </si>
  <si>
    <t>RECTANGULAR CIEGO</t>
  </si>
  <si>
    <t>CIRCULAR</t>
  </si>
  <si>
    <t>LADO 1 EXTERNO</t>
  </si>
  <si>
    <t>LADO 2 EXTERNO</t>
  </si>
  <si>
    <t>LADO 1 INTERNO</t>
  </si>
  <si>
    <t>LADO 2 INTERNO</t>
  </si>
  <si>
    <t>R</t>
  </si>
  <si>
    <t>C1</t>
  </si>
  <si>
    <t>C2</t>
  </si>
  <si>
    <t>D1</t>
  </si>
  <si>
    <t>D2</t>
  </si>
  <si>
    <t>E1</t>
  </si>
  <si>
    <t>E2</t>
  </si>
  <si>
    <t>E3</t>
  </si>
  <si>
    <t>E4</t>
  </si>
  <si>
    <t>F1</t>
  </si>
  <si>
    <t>F2</t>
  </si>
  <si>
    <t>F3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</si>
  <si>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</si>
  <si>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</si>
  <si>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</si>
  <si>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</si>
  <si>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</si>
  <si>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</si>
  <si>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</si>
  <si>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</si>
  <si>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</si>
  <si>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</si>
  <si>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</si>
  <si>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</si>
  <si>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</si>
  <si>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</si>
  <si>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</si>
  <si>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</si>
  <si>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</si>
  <si>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</si>
  <si>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</si>
  <si>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</si>
  <si>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</si>
  <si>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</si>
  <si>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</si>
  <si>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</si>
  <si>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</si>
  <si>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</si>
  <si>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</si>
  <si>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</si>
  <si>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</si>
  <si>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</si>
  <si>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</si>
  <si>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</si>
  <si>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J1</t>
  </si>
  <si>
    <t>J2</t>
  </si>
  <si>
    <t>J3</t>
  </si>
  <si>
    <t>J4</t>
  </si>
  <si>
    <t>J5</t>
  </si>
  <si>
    <t>J6</t>
  </si>
  <si>
    <t>J7</t>
  </si>
  <si>
    <t>J8</t>
  </si>
  <si>
    <t>K1</t>
  </si>
  <si>
    <t>K2</t>
  </si>
  <si>
    <t>K3</t>
  </si>
  <si>
    <t>K4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</si>
  <si>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</si>
  <si>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</si>
  <si>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</si>
  <si>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</si>
  <si>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</si>
  <si>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</si>
  <si>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</si>
  <si>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</si>
  <si>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</si>
  <si>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</si>
  <si>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</si>
  <si>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</si>
  <si>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</si>
  <si>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</si>
  <si>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</si>
  <si>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</si>
  <si>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</si>
  <si>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</si>
  <si>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</si>
  <si>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</si>
  <si>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</si>
  <si>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</si>
  <si>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</si>
  <si>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</si>
  <si>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</si>
  <si>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</si>
  <si>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</si>
  <si>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</si>
  <si>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</si>
  <si>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</si>
  <si>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</si>
  <si>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</si>
  <si>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</si>
  <si>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</si>
  <si>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</si>
  <si>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</si>
  <si>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</si>
  <si>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</si>
  <si>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</si>
  <si>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</si>
  <si>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</si>
  <si>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</si>
  <si>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</si>
  <si>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</si>
  <si>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</si>
  <si>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</si>
  <si>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</si>
  <si>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</si>
  <si>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</si>
  <si>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</si>
  <si>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</si>
  <si>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</si>
  <si>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</si>
  <si>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</si>
  <si>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</si>
  <si>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</si>
  <si>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R67</t>
  </si>
  <si>
    <t>R68</t>
  </si>
  <si>
    <t>R69</t>
  </si>
  <si>
    <t>R70</t>
  </si>
  <si>
    <t>R71</t>
  </si>
  <si>
    <t>R72</t>
  </si>
  <si>
    <t>R73</t>
  </si>
  <si>
    <t>R74</t>
  </si>
  <si>
    <t>R75</t>
  </si>
  <si>
    <t>R76</t>
  </si>
  <si>
    <t>R77</t>
  </si>
  <si>
    <t>R78</t>
  </si>
  <si>
    <t>R79</t>
  </si>
  <si>
    <t>R80</t>
  </si>
  <si>
    <t>R81</t>
  </si>
  <si>
    <t>R82</t>
  </si>
  <si>
    <t>R84</t>
  </si>
  <si>
    <t>R85</t>
  </si>
  <si>
    <t>R86</t>
  </si>
  <si>
    <t>R87</t>
  </si>
  <si>
    <t>R88</t>
  </si>
  <si>
    <t>R89</t>
  </si>
  <si>
    <t>R90</t>
  </si>
  <si>
    <t>R91</t>
  </si>
  <si>
    <t>R92</t>
  </si>
  <si>
    <t>R93</t>
  </si>
  <si>
    <t>R94</t>
  </si>
  <si>
    <t>R95</t>
  </si>
  <si>
    <t>R96</t>
  </si>
  <si>
    <t>R97</t>
  </si>
  <si>
    <t>R98</t>
  </si>
  <si>
    <t>R99</t>
  </si>
  <si>
    <t>R100</t>
  </si>
  <si>
    <t>R101</t>
  </si>
  <si>
    <t>R102</t>
  </si>
  <si>
    <t>R103</t>
  </si>
  <si>
    <t>R104</t>
  </si>
  <si>
    <t>R105</t>
  </si>
  <si>
    <t>Rx20</t>
  </si>
  <si>
    <t>Rx23</t>
  </si>
  <si>
    <t>Rx24</t>
  </si>
  <si>
    <t>Rx25</t>
  </si>
  <si>
    <t>Rx26</t>
  </si>
  <si>
    <t>Rx27</t>
  </si>
  <si>
    <t>Rx31</t>
  </si>
  <si>
    <t>Rx35</t>
  </si>
  <si>
    <t>Rx37</t>
  </si>
  <si>
    <t>Rx39</t>
  </si>
  <si>
    <t>Rx41</t>
  </si>
  <si>
    <t>Rx44</t>
  </si>
  <si>
    <t>Rx45</t>
  </si>
  <si>
    <t>Rx46</t>
  </si>
  <si>
    <t>Rx47</t>
  </si>
  <si>
    <t>Rx49</t>
  </si>
  <si>
    <t>Rx50</t>
  </si>
  <si>
    <t>Rx53</t>
  </si>
  <si>
    <t>Rx54</t>
  </si>
  <si>
    <t>Rx57</t>
  </si>
  <si>
    <t>Rx63</t>
  </si>
  <si>
    <t>Rx65</t>
  </si>
  <si>
    <t>Rx66</t>
  </si>
  <si>
    <t>Rx69</t>
  </si>
  <si>
    <t>Rx70</t>
  </si>
  <si>
    <t>Rx73</t>
  </si>
  <si>
    <t>Rx74</t>
  </si>
  <si>
    <t>Rx82</t>
  </si>
  <si>
    <t>Rx84</t>
  </si>
  <si>
    <t>Rx85</t>
  </si>
  <si>
    <t>Rx86</t>
  </si>
  <si>
    <t>Rx87</t>
  </si>
  <si>
    <t>Rx88</t>
  </si>
  <si>
    <t>Rx89</t>
  </si>
  <si>
    <t>Rx90</t>
  </si>
  <si>
    <t>Rx91</t>
  </si>
  <si>
    <t>Rx99</t>
  </si>
  <si>
    <t>Rx201</t>
  </si>
  <si>
    <t>Rx205</t>
  </si>
  <si>
    <t>Rx210</t>
  </si>
  <si>
    <t>Rx215</t>
  </si>
  <si>
    <t>RX</t>
  </si>
  <si>
    <t>BX</t>
  </si>
  <si>
    <t>BX150</t>
  </si>
  <si>
    <t>BX151</t>
  </si>
  <si>
    <t>BX152</t>
  </si>
  <si>
    <t>BX153</t>
  </si>
  <si>
    <t>BX154</t>
  </si>
  <si>
    <t>BX155</t>
  </si>
  <si>
    <t>BX156</t>
  </si>
  <si>
    <t>BX157</t>
  </si>
  <si>
    <t>BX158</t>
  </si>
  <si>
    <t>BX159</t>
  </si>
  <si>
    <t>BX160</t>
  </si>
  <si>
    <t>BX161</t>
  </si>
  <si>
    <t>BX162</t>
  </si>
  <si>
    <t>BX163</t>
  </si>
  <si>
    <t>BX164</t>
  </si>
  <si>
    <t>BX165</t>
  </si>
  <si>
    <t>BX166</t>
  </si>
  <si>
    <t>BX167</t>
  </si>
  <si>
    <t>BX168</t>
  </si>
  <si>
    <t>BX169</t>
  </si>
  <si>
    <t>BX170</t>
  </si>
  <si>
    <t>BX171</t>
  </si>
  <si>
    <t>BX172</t>
  </si>
  <si>
    <t>BX303</t>
  </si>
  <si>
    <t>LONGITUD</t>
  </si>
  <si>
    <t>PRODUCTO</t>
  </si>
  <si>
    <t>JUEGO DE PERNO</t>
  </si>
  <si>
    <t>PERNO</t>
  </si>
  <si>
    <t>TUERCAS</t>
  </si>
  <si>
    <t>ASBESTO PURO</t>
  </si>
  <si>
    <t>LINEA</t>
  </si>
  <si>
    <t>REFERENCIA</t>
  </si>
  <si>
    <t>CAMPOS PERSONALIZADOS</t>
  </si>
  <si>
    <t>ESPIROMETALICOS</t>
  </si>
  <si>
    <t>ITEM</t>
  </si>
  <si>
    <t>LOTE</t>
  </si>
  <si>
    <t xml:space="preserve"> CLASE</t>
  </si>
  <si>
    <t>-</t>
  </si>
  <si>
    <t>y</t>
  </si>
  <si>
    <t>z</t>
  </si>
  <si>
    <t>ALTURA</t>
  </si>
  <si>
    <t>Nombre</t>
  </si>
  <si>
    <t>Peso Max</t>
  </si>
  <si>
    <t>Caja 1</t>
  </si>
  <si>
    <t>Caja 2</t>
  </si>
  <si>
    <t>Caja 3</t>
  </si>
  <si>
    <t>Caja 4</t>
  </si>
  <si>
    <t>Caja 5</t>
  </si>
  <si>
    <t>Caja 6</t>
  </si>
  <si>
    <t>Caja 7</t>
  </si>
  <si>
    <t>Caja 8</t>
  </si>
  <si>
    <t>PESO ESPIRAL (kg/m^2)</t>
  </si>
  <si>
    <t>Sequence</t>
  </si>
  <si>
    <t>Parameter</t>
  </si>
  <si>
    <t>Value</t>
  </si>
  <si>
    <t>Remarks</t>
  </si>
  <si>
    <t>1.Items</t>
  </si>
  <si>
    <t>Number of types of items</t>
  </si>
  <si>
    <t>[1,100]</t>
  </si>
  <si>
    <t>2.Containers</t>
  </si>
  <si>
    <t>Number of types of containers</t>
  </si>
  <si>
    <t>[1,10]</t>
  </si>
  <si>
    <t>3.Solution</t>
  </si>
  <si>
    <t>Loading order</t>
  </si>
  <si>
    <t>Standard</t>
  </si>
  <si>
    <t>4.Visualization</t>
  </si>
  <si>
    <t>Item labels</t>
  </si>
  <si>
    <t>Yes</t>
  </si>
  <si>
    <t>Container labels</t>
  </si>
  <si>
    <t>No</t>
  </si>
  <si>
    <t>Animation advances by:</t>
  </si>
  <si>
    <t>One second intervals</t>
  </si>
  <si>
    <t>5.Solver</t>
  </si>
  <si>
    <t>First-Fit-Decreasing based on:</t>
  </si>
  <si>
    <t>Volume</t>
  </si>
  <si>
    <t>Show progress on status bar?</t>
  </si>
  <si>
    <t>May slow down the solution algorithm.</t>
  </si>
  <si>
    <t>CPU time limit (seconds)</t>
  </si>
  <si>
    <t>Recommendation: At least one second per item.</t>
  </si>
  <si>
    <t>PESO TOTAL</t>
  </si>
  <si>
    <t>PESO UND</t>
  </si>
  <si>
    <t>UNIDADES POR PACK</t>
  </si>
  <si>
    <t>ALTURA POR UNIDAD</t>
  </si>
  <si>
    <t>X</t>
  </si>
  <si>
    <t>Y</t>
  </si>
  <si>
    <t>Z</t>
  </si>
  <si>
    <t>PESO POR PACK</t>
  </si>
  <si>
    <t>CANTIDAD DE PAQUETES</t>
  </si>
  <si>
    <t>PESO EPIROMETALICOS</t>
  </si>
  <si>
    <t>PESO ESPIRAL (kg/mm^2)</t>
  </si>
  <si>
    <t>OVAL</t>
  </si>
  <si>
    <t>OCTOGONAL</t>
  </si>
  <si>
    <t>EMPAQUES TIPO R OVAL</t>
  </si>
  <si>
    <t>EMPAQUES TIPO R OCTOGONAL</t>
  </si>
  <si>
    <t>EMPAQUES TIPO RX</t>
  </si>
  <si>
    <t>EMPAQUES TIPO BX</t>
  </si>
  <si>
    <t>DIAMETRO</t>
  </si>
  <si>
    <t>PESO (kg)</t>
  </si>
  <si>
    <t>Cajas</t>
  </si>
  <si>
    <t>Caja 9</t>
  </si>
  <si>
    <t>Caja 10</t>
  </si>
  <si>
    <t>Caja 11</t>
  </si>
  <si>
    <t>x, y</t>
  </si>
  <si>
    <t>CAJA</t>
  </si>
  <si>
    <t>LADO MAYOR</t>
  </si>
  <si>
    <t>7/16"</t>
  </si>
  <si>
    <t>1/2"</t>
  </si>
  <si>
    <t>9/16"</t>
  </si>
  <si>
    <t>5/8"</t>
  </si>
  <si>
    <t>3/4"</t>
  </si>
  <si>
    <t>7/8"</t>
  </si>
  <si>
    <t>1"</t>
  </si>
  <si>
    <t>1 1/8"</t>
  </si>
  <si>
    <t>1 1/4"</t>
  </si>
  <si>
    <t>1 3/8"</t>
  </si>
  <si>
    <t>1 1/2"</t>
  </si>
  <si>
    <t>1 5/8"</t>
  </si>
  <si>
    <t>1 3/4"</t>
  </si>
  <si>
    <t>1 7/8"</t>
  </si>
  <si>
    <t>2"</t>
  </si>
  <si>
    <t>2 1/4"</t>
  </si>
  <si>
    <t>2 1/2"</t>
  </si>
  <si>
    <t>2 3/4"</t>
  </si>
  <si>
    <t>3"</t>
  </si>
  <si>
    <t>3 1/4"</t>
  </si>
  <si>
    <t>3 1/2"</t>
  </si>
  <si>
    <t>3 3/4"</t>
  </si>
  <si>
    <t>4"</t>
  </si>
  <si>
    <t>DIMENSIONES CAJA</t>
  </si>
  <si>
    <t>Ancho tuerca</t>
  </si>
  <si>
    <t>Alto tuerca</t>
  </si>
  <si>
    <t>ALTO</t>
  </si>
  <si>
    <t>Largo tuerca</t>
  </si>
  <si>
    <t>LARGO</t>
  </si>
  <si>
    <t>Cant tuercas caja</t>
  </si>
  <si>
    <t>Peso barra (kg/inch)</t>
  </si>
  <si>
    <t>Peso tuerca (kg)</t>
  </si>
  <si>
    <t>JUEGOS DE PERNO EN CAJA ESTANDAR</t>
  </si>
  <si>
    <t>PERNO EN CAJA ESTANDAR</t>
  </si>
  <si>
    <t>PESO EN CAJA ESTANDAR SOLO PERNO</t>
  </si>
  <si>
    <t>PESO LAMINAS (kg)</t>
  </si>
  <si>
    <t>LAMINAS POR ROLLO</t>
  </si>
  <si>
    <t>PESO POR METRO CUADRADO (kg)</t>
  </si>
  <si>
    <t>DIAMETRO INTERNO (mm)</t>
  </si>
  <si>
    <t>DIAMETRO EXTERNO RF (mm)</t>
  </si>
  <si>
    <t>DIAMETRO EXTERNO FF (mm)</t>
  </si>
  <si>
    <t>ÁREA EMPAQUE RF (m^2)</t>
  </si>
  <si>
    <t>ÁREA EMPAQUE FF (m^2)</t>
  </si>
  <si>
    <t>LOTE EMPAQUES 1/8"</t>
  </si>
  <si>
    <t>LOTE EMPAQUES 1/16"</t>
  </si>
  <si>
    <t>LOTE EMPAQUES 1/32"</t>
  </si>
  <si>
    <t>LARGO (mm)</t>
  </si>
  <si>
    <t>ANCHO (mm)</t>
  </si>
  <si>
    <t>ÁREA (mm^2)</t>
  </si>
  <si>
    <t>SOFTGASKET</t>
  </si>
  <si>
    <t>MATERIAL:</t>
  </si>
  <si>
    <t>ESPESOR:</t>
  </si>
  <si>
    <t>TIPO:</t>
  </si>
  <si>
    <t>CLASE:</t>
  </si>
  <si>
    <t>DN:</t>
  </si>
  <si>
    <t>LONGITUD:</t>
  </si>
  <si>
    <t>PESO EMPAQUE DINAGRA</t>
  </si>
  <si>
    <t>PESO EMPAQUE FLEXIAGRA F</t>
  </si>
  <si>
    <t>PESO EMPAQUE FLEXIAGRA E</t>
  </si>
  <si>
    <t>PESO ARANDELA G-10</t>
  </si>
  <si>
    <t>PESO ARANDELA A/C</t>
  </si>
  <si>
    <t>PESO TUBO FLEXIAGRA</t>
  </si>
  <si>
    <t>PESO TUBO DINAGRA</t>
  </si>
  <si>
    <t>PESO TOTAL DINAGRA</t>
  </si>
  <si>
    <t>PESO TOTAL FLEXIAGRA F</t>
  </si>
  <si>
    <t>PESO TOTAL FLEXIAGRA E</t>
  </si>
  <si>
    <t>DIAMETRO EXTERNO TIPO F</t>
  </si>
  <si>
    <t>DIAMETRO EXTERNO TIPO E</t>
  </si>
  <si>
    <t>CAJA PARA TIPO F</t>
  </si>
  <si>
    <t>CAJA PARA TIPO E</t>
  </si>
  <si>
    <t>CAJA 1</t>
  </si>
  <si>
    <t>CAJA 2</t>
  </si>
  <si>
    <t>CAJA 3</t>
  </si>
  <si>
    <t>CAJA 4</t>
  </si>
  <si>
    <t>CAJA 5</t>
  </si>
  <si>
    <t>CAJA 6</t>
  </si>
  <si>
    <t>CAJA 7</t>
  </si>
  <si>
    <t>E</t>
  </si>
  <si>
    <t>F</t>
  </si>
  <si>
    <t>DIAMETRO:</t>
  </si>
  <si>
    <t>PESO</t>
  </si>
  <si>
    <t>MACHOS</t>
  </si>
  <si>
    <t>HEMBRAS</t>
  </si>
  <si>
    <t>UNIVERSALES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</si>
</sst>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\ ???/???"/>
    <numFmt numFmtId="165" formatCode="0.000"/>
    <numFmt numFmtId="166" formatCode="0.0"/>
  </numFmts>
  <fonts count="36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4" fillId="26" borderId="0" applyNumberFormat="0" applyBorder="0" applyAlignment="0" applyProtection="0"/>
    <xf numFmtId="0" fontId="5" fillId="27" borderId="1" applyNumberFormat="0" applyAlignment="0" applyProtection="0"/>
    <xf numFmtId="0" fontId="6" fillId="28" borderId="2" applyNumberFormat="0" applyAlignment="0" applyProtection="0"/>
    <xf numFmtId="0" fontId="7" fillId="0" borderId="0" applyNumberFormat="0" applyFill="0" applyBorder="0" applyAlignment="0" applyProtection="0"/>
    <xf numFmtId="0" fontId="8" fillId="29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2" fillId="0" borderId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20" fillId="0" borderId="0" applyNumberFormat="0" applyFont="0" applyFill="0" applyBorder="0" applyAlignment="0" applyProtection="0">
      <alignment vertical="top"/>
    </xf>
    <xf numFmtId="0" fontId="25" fillId="29" borderId="0" applyNumberFormat="0" applyBorder="0" applyAlignment="0" applyProtection="0"/>
    <xf numFmtId="0" fontId="26" fillId="27" borderId="8" applyNumberFormat="0" applyAlignment="0" applyProtection="0"/>
    <xf numFmtId="0" fontId="27" fillId="20" borderId="0" applyNumberFormat="0" applyBorder="0" applyAlignment="0" applyProtection="0"/>
    <xf numFmtId="0" fontId="27" fillId="14" borderId="0" applyNumberFormat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3" fontId="0" fillId="0" borderId="0" xfId="0" applyNumberFormat="1"/>
    <xf numFmtId="13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20" fillId="0" borderId="0" xfId="43" applyNumberFormat="1" applyFont="1" applyFill="1" applyBorder="1" applyAlignment="1" applyProtection="1">
      <alignment vertical="top"/>
    </xf>
    <xf numFmtId="0" fontId="23" fillId="0" borderId="11" xfId="43" applyNumberFormat="1" applyFont="1" applyFill="1" applyBorder="1" applyAlignment="1" applyProtection="1">
      <alignment horizontal="center" vertical="center"/>
    </xf>
    <xf numFmtId="165" fontId="23" fillId="0" borderId="11" xfId="43" applyNumberFormat="1" applyFont="1" applyFill="1" applyBorder="1" applyAlignment="1" applyProtection="1">
      <alignment horizontal="center" vertical="center"/>
    </xf>
    <xf numFmtId="166" fontId="23" fillId="0" borderId="11" xfId="43" applyNumberFormat="1" applyFont="1" applyFill="1" applyBorder="1" applyAlignment="1" applyProtection="1">
      <alignment horizontal="center" vertical="center"/>
    </xf>
    <xf numFmtId="1" fontId="23" fillId="0" borderId="11" xfId="43" applyNumberFormat="1" applyFont="1" applyFill="1" applyBorder="1" applyAlignment="1" applyProtection="1">
      <alignment horizontal="center" vertical="center"/>
    </xf>
    <xf numFmtId="1" fontId="24" fillId="0" borderId="11" xfId="43" applyNumberFormat="1" applyFon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0" fontId="19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9" fillId="0" borderId="0" xfId="0" applyFont="1"/>
    <xf numFmtId="0" fontId="28" fillId="33" borderId="0" xfId="0" applyFont="1" applyFill="1" applyBorder="1"/>
    <xf numFmtId="0" fontId="19" fillId="0" borderId="13" xfId="0" applyFont="1" applyBorder="1"/>
    <xf numFmtId="0" fontId="0" fillId="0" borderId="13" xfId="0" applyBorder="1"/>
    <xf numFmtId="0" fontId="29" fillId="34" borderId="13" xfId="0" applyFont="1" applyFill="1" applyBorder="1"/>
    <xf numFmtId="0" fontId="0" fillId="0" borderId="0" xfId="0" applyBorder="1"/>
    <xf numFmtId="0" fontId="19" fillId="0" borderId="12" xfId="0" applyFont="1" applyBorder="1"/>
    <xf numFmtId="0" fontId="0" fillId="0" borderId="12" xfId="0" applyBorder="1"/>
    <xf numFmtId="0" fontId="29" fillId="34" borderId="12" xfId="0" applyFont="1" applyFill="1" applyBorder="1"/>
    <xf numFmtId="0" fontId="27" fillId="20" borderId="0" xfId="46"/>
    <xf numFmtId="0" fontId="30" fillId="14" borderId="11" xfId="47" applyFont="1" applyBorder="1" applyAlignment="1">
      <alignment horizontal="center" vertical="center" wrapText="1"/>
    </xf>
    <xf numFmtId="1" fontId="30" fillId="14" borderId="11" xfId="47" applyNumberFormat="1" applyFont="1" applyBorder="1" applyAlignment="1">
      <alignment horizontal="center" vertical="center" wrapText="1"/>
    </xf>
    <xf numFmtId="2" fontId="30" fillId="14" borderId="11" xfId="47" applyNumberFormat="1" applyFont="1" applyBorder="1" applyAlignment="1">
      <alignment horizontal="center" vertical="center" wrapText="1"/>
    </xf>
    <xf numFmtId="0" fontId="31" fillId="0" borderId="0" xfId="0" applyFont="1"/>
    <xf numFmtId="0" fontId="26" fillId="27" borderId="8" xfId="45"/>
    <xf numFmtId="166" fontId="0" fillId="0" borderId="0" xfId="0" applyNumberFormat="1"/>
    <xf numFmtId="0" fontId="0" fillId="0" borderId="11" xfId="0" applyBorder="1"/>
    <xf numFmtId="0" fontId="0" fillId="35" borderId="0" xfId="0" applyFill="1"/>
    <xf numFmtId="0" fontId="0" fillId="0" borderId="11" xfId="0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5" fillId="29" borderId="8" xfId="44" applyBorder="1"/>
    <xf numFmtId="166" fontId="0" fillId="0" borderId="0" xfId="0" applyNumberFormat="1" applyFill="1" applyBorder="1" applyAlignment="1">
      <alignment horizontal="center" vertical="center"/>
    </xf>
    <xf numFmtId="166" fontId="0" fillId="0" borderId="11" xfId="0" applyNumberFormat="1" applyFill="1" applyBorder="1" applyAlignment="1">
      <alignment horizontal="center" vertical="center"/>
    </xf>
    <xf numFmtId="166" fontId="0" fillId="0" borderId="11" xfId="0" applyNumberFormat="1" applyBorder="1"/>
    <xf numFmtId="166" fontId="0" fillId="0" borderId="11" xfId="0" applyNumberFormat="1" applyBorder="1" applyAlignment="1">
      <alignment horizontal="center"/>
    </xf>
    <xf numFmtId="0" fontId="19" fillId="0" borderId="11" xfId="0" applyFont="1" applyBorder="1" applyAlignment="1">
      <alignment vertical="center"/>
    </xf>
    <xf numFmtId="0" fontId="0" fillId="0" borderId="0" xfId="0" applyAlignment="1">
      <alignment horizontal="center"/>
    </xf>
    <xf numFmtId="0" fontId="19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3" fillId="0" borderId="11" xfId="43" applyNumberFormat="1" applyFont="1" applyFill="1" applyBorder="1" applyAlignment="1" applyProtection="1">
      <alignment horizontal="center" vertical="center" wrapText="1"/>
    </xf>
    <xf numFmtId="0" fontId="30" fillId="0" borderId="11" xfId="43" applyNumberFormat="1" applyFont="1" applyFill="1" applyBorder="1" applyAlignment="1" applyProtection="1">
      <alignment horizontal="center" vertical="center"/>
    </xf>
    <xf numFmtId="0" fontId="34" fillId="0" borderId="11" xfId="43" applyNumberFormat="1" applyFont="1" applyFill="1" applyBorder="1" applyAlignment="1" applyProtection="1">
      <alignment horizontal="center" vertical="center"/>
    </xf>
    <xf numFmtId="0" fontId="19" fillId="0" borderId="11" xfId="0" applyFont="1" applyBorder="1" applyAlignment="1">
      <alignment horizontal="center"/>
    </xf>
    <xf numFmtId="0" fontId="33" fillId="0" borderId="11" xfId="43" applyNumberFormat="1" applyFont="1" applyFill="1" applyBorder="1" applyAlignment="1" applyProtection="1">
      <alignment horizontal="center" vertical="center"/>
    </xf>
    <xf numFmtId="165" fontId="30" fillId="0" borderId="11" xfId="43" applyNumberFormat="1" applyFont="1" applyFill="1" applyBorder="1" applyAlignment="1" applyProtection="1">
      <alignment horizontal="center" vertical="center"/>
    </xf>
    <xf numFmtId="13" fontId="0" fillId="0" borderId="11" xfId="0" applyNumberFormat="1" applyBorder="1" applyAlignment="1">
      <alignment horizontal="center" vertical="center"/>
    </xf>
    <xf numFmtId="13" fontId="30" fillId="0" borderId="11" xfId="43" applyNumberFormat="1" applyFont="1" applyFill="1" applyBorder="1" applyAlignment="1" applyProtection="1">
      <alignment horizontal="right" vertical="center"/>
    </xf>
    <xf numFmtId="0" fontId="19" fillId="0" borderId="11" xfId="0" applyFont="1" applyBorder="1" applyAlignment="1">
      <alignment horizontal="center"/>
    </xf>
    <xf numFmtId="13" fontId="19" fillId="0" borderId="11" xfId="0" applyNumberFormat="1" applyFont="1" applyBorder="1" applyAlignment="1">
      <alignment horizontal="center" vertical="center"/>
    </xf>
    <xf numFmtId="2" fontId="0" fillId="0" borderId="11" xfId="0" applyNumberFormat="1" applyBorder="1" applyAlignment="1">
      <alignment horizontal="center"/>
    </xf>
    <xf numFmtId="0" fontId="32" fillId="0" borderId="0" xfId="0" applyFont="1"/>
    <xf numFmtId="165" fontId="30" fillId="0" borderId="0" xfId="43" applyNumberFormat="1" applyFont="1" applyFill="1" applyBorder="1" applyAlignment="1" applyProtection="1">
      <alignment horizontal="center" vertical="center"/>
    </xf>
    <xf numFmtId="13" fontId="30" fillId="0" borderId="11" xfId="43" applyNumberFormat="1" applyFont="1" applyFill="1" applyBorder="1" applyAlignment="1" applyProtection="1">
      <alignment horizontal="center" vertical="center"/>
    </xf>
    <xf numFmtId="1" fontId="0" fillId="0" borderId="11" xfId="0" applyNumberFormat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31" fillId="0" borderId="0" xfId="0" applyNumberFormat="1" applyFont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30" fillId="14" borderId="15" xfId="47" applyFont="1" applyBorder="1" applyAlignment="1">
      <alignment horizontal="center" vertical="center" wrapText="1"/>
    </xf>
    <xf numFmtId="0" fontId="30" fillId="14" borderId="0" xfId="47" applyFont="1" applyBorder="1" applyAlignment="1">
      <alignment horizontal="center" vertical="center" wrapText="1"/>
    </xf>
    <xf numFmtId="0" fontId="19" fillId="0" borderId="18" xfId="0" applyFont="1" applyBorder="1" applyAlignment="1">
      <alignment horizontal="center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9" fillId="0" borderId="18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34" fillId="0" borderId="21" xfId="43" applyNumberFormat="1" applyFont="1" applyFill="1" applyBorder="1" applyAlignment="1" applyProtection="1">
      <alignment horizontal="center" vertical="center"/>
    </xf>
    <xf numFmtId="0" fontId="34" fillId="0" borderId="22" xfId="43" applyNumberFormat="1" applyFont="1" applyFill="1" applyBorder="1" applyAlignment="1" applyProtection="1">
      <alignment horizontal="center" vertical="center"/>
    </xf>
    <xf numFmtId="0" fontId="34" fillId="0" borderId="18" xfId="43" applyNumberFormat="1" applyFont="1" applyFill="1" applyBorder="1" applyAlignment="1" applyProtection="1">
      <alignment horizontal="center" vertical="center"/>
    </xf>
    <xf numFmtId="0" fontId="34" fillId="0" borderId="19" xfId="43" applyNumberFormat="1" applyFont="1" applyFill="1" applyBorder="1" applyAlignment="1" applyProtection="1">
      <alignment horizontal="center" vertical="center"/>
    </xf>
    <xf numFmtId="0" fontId="34" fillId="0" borderId="20" xfId="43" applyNumberFormat="1" applyFont="1" applyFill="1" applyBorder="1" applyAlignment="1" applyProtection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 textRotation="90"/>
    </xf>
    <xf numFmtId="0" fontId="19" fillId="0" borderId="11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1" fillId="0" borderId="10" xfId="43" applyNumberFormat="1" applyFont="1" applyFill="1" applyBorder="1" applyAlignment="1" applyProtection="1">
      <alignment horizontal="center" vertical="center"/>
    </xf>
    <xf numFmtId="0" fontId="22" fillId="0" borderId="11" xfId="43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19" fillId="0" borderId="11" xfId="0" applyFont="1" applyBorder="1" applyAlignment="1">
      <alignment horizontal="center"/>
    </xf>
    <xf numFmtId="0" fontId="34" fillId="0" borderId="11" xfId="43" applyNumberFormat="1" applyFont="1" applyFill="1" applyBorder="1" applyAlignment="1" applyProtection="1">
      <alignment horizontal="center" vertical="center"/>
    </xf>
    <xf numFmtId="2" fontId="30" fillId="0" borderId="11" xfId="43" applyNumberFormat="1" applyFont="1" applyFill="1" applyBorder="1" applyAlignment="1" applyProtection="1">
      <alignment horizontal="center" vertical="center"/>
    </xf>
    <xf numFmtId="0" fontId="19" fillId="35" borderId="11" xfId="0" applyFont="1" applyFill="1" applyBorder="1" applyAlignment="1">
      <alignment horizontal="center"/>
    </xf>
    <xf numFmtId="0" fontId="0" fillId="35" borderId="0" xfId="0" applyFill="1" applyAlignment="1">
      <alignment horizontal="center"/>
    </xf>
    <xf numFmtId="1" fontId="30" fillId="0" borderId="11" xfId="43" applyNumberFormat="1" applyFont="1" applyFill="1" applyBorder="1" applyAlignment="1" applyProtection="1">
      <alignment horizontal="center" vertical="center"/>
    </xf>
    <xf numFmtId="12" fontId="0" fillId="0" borderId="0" xfId="0" applyNumberFormat="1"/>
    <xf numFmtId="1" fontId="0" fillId="0" borderId="0" xfId="0" applyNumberFormat="1" applyAlignment="1">
      <alignment horizontal="right"/>
    </xf>
    <xf numFmtId="12" fontId="0" fillId="0" borderId="11" xfId="0" applyNumberFormat="1" applyBorder="1" applyAlignment="1">
      <alignment horizontal="center"/>
    </xf>
    <xf numFmtId="12" fontId="0" fillId="0" borderId="11" xfId="0" applyNumberFormat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12" fontId="0" fillId="0" borderId="11" xfId="0" applyNumberFormat="1" applyBorder="1" applyAlignment="1">
      <alignment horizontal="right"/>
    </xf>
    <xf numFmtId="1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" fontId="0" fillId="0" borderId="0" xfId="0" applyNumberFormat="1"/>
  </cellXfs>
  <cellStyles count="48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60% - Énfasis1" xfId="47" builtinId="32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Buena" xfId="44" builtinId="26"/>
    <cellStyle name="Calculation 2" xfId="26"/>
    <cellStyle name="Check Cell 2" xfId="27"/>
    <cellStyle name="Énfasis1" xfId="46" builtinId="29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rmal 2" xfId="37"/>
    <cellStyle name="Normal 2 2" xfId="43"/>
    <cellStyle name="Note 2" xfId="38"/>
    <cellStyle name="Output 2" xfId="39"/>
    <cellStyle name="Salida" xfId="45" builtinId="21"/>
    <cellStyle name="Título" xfId="40" builtinId="15" customBuiltin="1"/>
    <cellStyle name="Total 2" xfId="41"/>
    <cellStyle name="Warning Text 2" xfId="4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schemas.microsoft.com/search/local/ws/rest/v1'">
  <Schema ID="Schema1" Namespace="http://schemas.microsoft.com/search/local/ws/rest/v1">
    <xsd:schema xmlns:xsd="http://www.w3.org/2001/XMLSchema" xmlns:ns0="http://schemas.microsoft.com/search/local/ws/rest/v1" xmlns="" targetNamespace="http://schemas.microsoft.com/search/local/ws/rest/v1">
      <xsd:element nillable="true" name="Response">
        <xsd:complexType>
          <xsd:sequence minOccurs="0">
            <xsd:element minOccurs="0" nillable="true" type="xsd:string" name="Copyright" form="qualified"/>
            <xsd:element minOccurs="0" nillable="true" type="xsd:anyURI" name="BrandLogoUri" form="qualified"/>
            <xsd:element minOccurs="0" nillable="true" type="xsd:integer" name="StatusCode" form="qualified"/>
            <xsd:element minOccurs="0" nillable="true" type="xsd:string" name="StatusDescription" form="qualified"/>
            <xsd:element minOccurs="0" nillable="true" type="xsd:string" name="AuthenticationResultCode" form="qualified"/>
            <xsd:element minOccurs="0" nillable="true" type="xsd:string" name="TraceId" form="qualified"/>
            <xsd:element minOccurs="0" nillable="true" name="ResourceSets" form="qualified">
              <xsd:complexType>
                <xsd:sequence minOccurs="0">
                  <xsd:element minOccurs="0" nillable="true" name="ResourceSet" form="qualified">
                    <xsd:complexType>
                      <xsd:sequence minOccurs="0">
                        <xsd:element minOccurs="0" nillable="true" type="xsd:integer" name="EstimatedTotal" form="qualified"/>
                        <xsd:element minOccurs="0" nillable="true" name="Resources" form="qualified">
                          <xsd:complexType>
                            <xsd:sequence minOccurs="0">
                              <xsd:element minOccurs="0" nillable="true" name="Route" form="qualified">
                                <xsd:complexType>
                                  <xsd:sequence minOccurs="0">
                                    <xsd:element minOccurs="0" nillable="true" type="xsd:string" name="Id" form="qualified"/>
                                    <xsd:element minOccurs="0" nillable="true" name="BoundingBox" form="qualified">
                                      <xsd:complexType>
                                        <xsd:sequence minOccurs="0">
                                          <xsd:element minOccurs="0" nillable="true" type="xsd:double" name="SouthLatitude" form="qualified"/>
                                          <xsd:element minOccurs="0" nillable="true" type="xsd:double" name="WestLongitude" form="qualified"/>
                                          <xsd:element minOccurs="0" nillable="true" type="xsd:double" name="NorthLatitude" form="qualified"/>
                                          <xsd:element minOccurs="0" nillable="true" type="xsd:double" name="EastLongitude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DistanceUnit" form="qualified"/>
                                    <xsd:element minOccurs="0" nillable="true" type="xsd:string" name="DurationUnit" form="qualified"/>
                                    <xsd:element minOccurs="0" nillable="true" type="xsd:double" name="TravelDistance" form="qualified"/>
                                    <xsd:element minOccurs="0" nillable="true" type="xsd:integer" name="TravelDuration" form="qualified"/>
                                    <xsd:element minOccurs="0" nillable="true" type="xsd:integer" name="TravelDurationTraffic" form="qualified"/>
                                    <xsd:element minOccurs="0" nillable="true" name="RouteLeg" form="qualified">
                                      <xsd:complexType>
                                        <xsd:sequence minOccurs="0">
                                          <xsd:element minOccurs="0" nillable="true" type="xsd:double" name="TravelDistance" form="qualified"/>
                                          <xsd:element minOccurs="0" nillable="true" type="xsd:integer" name="TravelDuration" form="qualified"/>
                                          <xsd:element minOccurs="0" nillable="true" type="xsd:integer" name="Cost" form="qualified"/>
                                          <xsd:element minOccurs="0" nillable="true" name="ActualStart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ctualEnd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ItineraryItem" form="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TravelMode" form="qualified"/>
                                                <xsd:element minOccurs="0" nillable="true" type="xsd:double" name="TravelDistance" form="qualified"/>
                                                <xsd:element minOccurs="0" nillable="true" type="xsd:integer" name="TravelDuration" form="qualified"/>
                                                <xsd:element minOccurs="0" nillable="true" name="ManeuverPoint" form="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Latitude" form="qualified"/>
                                                      <xsd:element minOccurs="0" nillable="true" type="xsd:double" name="Longitu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struction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maneuverType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string" name="CompassDirection" form="qualified"/>
                                                <xsd:element minOccurs="0" nillable="true" name="Warning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warningType" form="unqualified" type="xsd:string"/>
                                                        <xsd:attribute name="severity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maxOccurs="unbounded" nillable="true" name="Detail" form="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type="xsd:string" name="ManeuverType" form="qualified"/>
                                                      <xsd:element minOccurs="0" nillable="true" type="xsd:integer" name="StartPathIndex" form="qualified"/>
                                                      <xsd:element minOccurs="0" nillable="true" type="xsd:integer" name="EndPathIndex" form="qualified"/>
                                                      <xsd:element minOccurs="0" nillable="true" type="xsd:string" name="Name" form="qualified"/>
                                                      <xsd:element minOccurs="0" nillable="true" type="xsd:integer" name="CompassDegrees" form="qualified"/>
                                                      <xsd:element minOccurs="0" nillable="true" type="xsd:string" name="Mode" form="qualified"/>
                                                      <xsd:element minOccurs="0" nillable="true" type="xsd:integer" name="PreviousEntityId" form="qualified"/>
                                                      <xsd:element minOccurs="0" nillable="true" type="xsd:integer" name="NextEntityId" form="qualified"/>
                                                      <xsd:element minOccurs="0" nillable="true" type="xsd:string" name="RoadType" form="qualified"/>
                                                      <xsd:element minOccurs="0" nillable="true" name="RoadShieldRequestParameters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Bucket" form="qualified"/>
                                                            <xsd:element minOccurs="0" nillable="true" name="Shield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RoadShieldType" form="qualified"/>
                                                                  <xsd:element minOccurs="0" nillable="true" type="xsd:string" name="Label" form="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type="xsd:string" name="LocationCo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xit" form="qualified"/>
                                                <xsd:element minOccurs="0" nillable="true" type="xsd:string" name="TollZone" form="qualified"/>
                                                <xsd:element minOccurs="0" nillable="true" type="xsd:string" name="TransitTerminus" form="qualified"/>
                                                <xsd:element minOccurs="0" nillable="true" type="xsd:integer" name="TripId" form="qualified"/>
                                                <xsd:element minOccurs="0" nillable="true" type="xsd:string" name="IconType" form="qualified"/>
                                                <xsd:element minOccurs="0" nillable="true" type="xsd:dateTime" name="Time" form="qualified"/>
                                                <xsd:element minOccurs="0" nillable="true" type="xsd:integer" name="TransitStopId" form="qualified"/>
                                                <xsd:element minOccurs="0" nillable="true" type="xsd:string" name="TowardsRoadName" form="qualified"/>
                                                <xsd:element minOccurs="0" nillable="true" type="xsd:string" name="SideOfStreet" form="qualified"/>
                                                <xsd:element minOccurs="0" maxOccurs="unbounded" nillable="true" type="xsd:string" name="Sign" form="qualified"/>
                                                <xsd:element minOccurs="0" maxOccurs="unbounded" nillable="true" type="xsd:string" name="Hin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ateTime" name="StartTime" form="qualified"/>
                                          <xsd:element minOccurs="0" nillable="true" type="xsd:dateTime" name="EndTime" form="qualified"/>
                                          <xsd:element minOccurs="0" nillable="true" type="xsd:string" name="Description" form="qualified"/>
                                          <xsd:element minOccurs="0" nillable="true" type="xsd:string" name="RouteRegion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ponse_Map" RootElement="Respons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0</xdr:rowOff>
        </xdr:from>
        <xdr:to>
          <xdr:col>1</xdr:col>
          <xdr:colOff>1684020</xdr:colOff>
          <xdr:row>0</xdr:row>
          <xdr:rowOff>529590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0</xdr:rowOff>
        </xdr:from>
        <xdr:to>
          <xdr:col>2</xdr:col>
          <xdr:colOff>1710690</xdr:colOff>
          <xdr:row>0</xdr:row>
          <xdr:rowOff>525780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0</xdr:rowOff>
        </xdr:from>
        <xdr:to>
          <xdr:col>3</xdr:col>
          <xdr:colOff>1794510</xdr:colOff>
          <xdr:row>0</xdr:row>
          <xdr:rowOff>529590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TODO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10"/>
  <sheetViews>
    <sheetView zoomScale="115" zoomScaleNormal="115" workbookViewId="0">
      <selection activeCell="B7" sqref="B7"/>
    </sheetView>
  </sheetViews>
  <sheetFormatPr baseColWidth="10" defaultRowHeight="14.4" x14ac:dyDescent="0.55000000000000004"/>
  <cols>
    <col min="1" max="1" width="7.15625" bestFit="1" customWidth="1"/>
    <col min="2" max="3" width="3.68359375" bestFit="1" customWidth="1"/>
    <col min="4" max="4" width="4.68359375" bestFit="1" customWidth="1"/>
    <col min="5" max="5" width="8.26171875" bestFit="1" customWidth="1"/>
  </cols>
  <sheetData>
    <row r="1" spans="1:8" x14ac:dyDescent="0.55000000000000004">
      <c r="A1" s="1" t="s">
        <v>386</v>
      </c>
      <c r="B1" s="1" t="s">
        <v>134</v>
      </c>
      <c r="C1" s="1" t="s">
        <v>383</v>
      </c>
      <c r="D1" s="1" t="s">
        <v>384</v>
      </c>
      <c r="E1" s="1" t="s">
        <v>387</v>
      </c>
      <c r="H1">
        <f>COUNT(B2:B1048576)</f>
        <v>9</v>
      </c>
    </row>
    <row r="2" spans="1:8" x14ac:dyDescent="0.55000000000000004">
      <c r="A2" s="1" t="s">
        <v>388</v>
      </c>
      <c r="B2" s="1">
        <v>200</v>
      </c>
      <c r="C2" s="1">
        <v>60</v>
      </c>
      <c r="D2" s="1">
        <v>200</v>
      </c>
      <c r="E2" s="1">
        <v>3</v>
      </c>
    </row>
    <row r="3" spans="1:8" x14ac:dyDescent="0.55000000000000004">
      <c r="A3" s="1" t="s">
        <v>389</v>
      </c>
      <c r="B3" s="1">
        <v>300</v>
      </c>
      <c r="C3" s="1">
        <v>60</v>
      </c>
      <c r="D3" s="1">
        <v>300</v>
      </c>
      <c r="E3" s="1">
        <v>10</v>
      </c>
    </row>
    <row r="4" spans="1:8" x14ac:dyDescent="0.55000000000000004">
      <c r="A4" s="1" t="s">
        <v>390</v>
      </c>
      <c r="B4" s="1">
        <v>400</v>
      </c>
      <c r="C4" s="1">
        <v>60</v>
      </c>
      <c r="D4" s="1">
        <v>400</v>
      </c>
      <c r="E4" s="1">
        <v>10</v>
      </c>
    </row>
    <row r="5" spans="1:8" x14ac:dyDescent="0.55000000000000004">
      <c r="A5" s="1" t="s">
        <v>391</v>
      </c>
      <c r="B5" s="1">
        <v>600</v>
      </c>
      <c r="C5" s="1">
        <v>60</v>
      </c>
      <c r="D5" s="1">
        <v>600</v>
      </c>
      <c r="E5" s="1">
        <v>12</v>
      </c>
    </row>
    <row r="6" spans="1:8" x14ac:dyDescent="0.55000000000000004">
      <c r="A6" s="1" t="s">
        <v>392</v>
      </c>
      <c r="B6" s="1">
        <v>800</v>
      </c>
      <c r="C6" s="1">
        <v>100</v>
      </c>
      <c r="D6" s="1">
        <v>800</v>
      </c>
      <c r="E6" s="1">
        <v>20</v>
      </c>
    </row>
    <row r="7" spans="1:8" x14ac:dyDescent="0.55000000000000004">
      <c r="A7" s="1" t="s">
        <v>393</v>
      </c>
      <c r="B7" s="1">
        <v>230</v>
      </c>
      <c r="C7" s="1">
        <v>230</v>
      </c>
      <c r="D7" s="1">
        <v>230</v>
      </c>
      <c r="E7" s="1">
        <v>10</v>
      </c>
    </row>
    <row r="8" spans="1:8" x14ac:dyDescent="0.55000000000000004">
      <c r="A8" s="1" t="s">
        <v>394</v>
      </c>
      <c r="B8" s="1">
        <v>490</v>
      </c>
      <c r="C8" s="1">
        <v>250</v>
      </c>
      <c r="D8" s="1">
        <v>350</v>
      </c>
      <c r="E8" s="1">
        <v>35</v>
      </c>
    </row>
    <row r="9" spans="1:8" x14ac:dyDescent="0.55000000000000004">
      <c r="A9" s="1" t="s">
        <v>395</v>
      </c>
      <c r="B9" s="1">
        <v>530</v>
      </c>
      <c r="C9" s="1">
        <v>300</v>
      </c>
      <c r="D9" s="1">
        <v>530</v>
      </c>
      <c r="E9" s="1">
        <v>35</v>
      </c>
    </row>
    <row r="10" spans="1:8" x14ac:dyDescent="0.55000000000000004">
      <c r="B10" s="1">
        <v>250</v>
      </c>
      <c r="C10" s="1">
        <v>250</v>
      </c>
      <c r="D10" s="1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F95"/>
  <sheetViews>
    <sheetView topLeftCell="F1" zoomScale="85" zoomScaleNormal="85" workbookViewId="0">
      <selection activeCell="G15" sqref="G15"/>
    </sheetView>
  </sheetViews>
  <sheetFormatPr baseColWidth="10" defaultRowHeight="14.4" x14ac:dyDescent="0.55000000000000004"/>
  <cols>
    <col min="1" max="1" width="16.68359375" bestFit="1" customWidth="1"/>
    <col min="2" max="2" width="26.41796875" customWidth="1"/>
    <col min="3" max="3" width="15.578125" bestFit="1" customWidth="1"/>
    <col min="4" max="4" width="16.68359375" bestFit="1" customWidth="1"/>
    <col min="5" max="5" width="48.68359375" bestFit="1" customWidth="1"/>
    <col min="6" max="6" width="39.15625" bestFit="1" customWidth="1"/>
    <col min="7" max="7" width="48.41796875" bestFit="1" customWidth="1"/>
    <col min="8" max="8" width="15.578125" bestFit="1" customWidth="1"/>
    <col min="9" max="9" width="15.578125" customWidth="1"/>
    <col min="19" max="19" width="13.83984375" bestFit="1" customWidth="1"/>
    <col min="21" max="21" width="18" bestFit="1" customWidth="1"/>
    <col min="22" max="25" width="18" customWidth="1"/>
    <col min="26" max="26" width="13.83984375" bestFit="1" customWidth="1"/>
    <col min="28" max="28" width="16.68359375" bestFit="1" customWidth="1"/>
    <col min="29" max="32" width="5.83984375" bestFit="1" customWidth="1"/>
    <col min="38" max="38" width="16.68359375" bestFit="1" customWidth="1"/>
    <col min="39" max="39" width="15.26171875" bestFit="1" customWidth="1"/>
    <col min="48" max="49" width="14.62890625" bestFit="1" customWidth="1"/>
    <col min="57" max="57" width="9.83984375" bestFit="1" customWidth="1"/>
  </cols>
  <sheetData>
    <row r="1" spans="1:58" s="1" customFormat="1" ht="28.9" customHeight="1" x14ac:dyDescent="0.55000000000000004">
      <c r="B1" s="1" t="s">
        <v>2</v>
      </c>
      <c r="C1" s="1" t="s">
        <v>0</v>
      </c>
      <c r="D1" s="1" t="s">
        <v>1</v>
      </c>
      <c r="E1" s="1" t="s">
        <v>3</v>
      </c>
      <c r="F1" s="1" t="s">
        <v>4</v>
      </c>
      <c r="G1" s="1" t="s">
        <v>5</v>
      </c>
      <c r="H1" s="1" t="s">
        <v>13</v>
      </c>
      <c r="I1" s="1" t="s">
        <v>106</v>
      </c>
      <c r="J1" s="1">
        <v>150</v>
      </c>
      <c r="K1" s="1">
        <v>300</v>
      </c>
      <c r="L1" s="1">
        <v>600</v>
      </c>
      <c r="M1" s="1">
        <v>900</v>
      </c>
      <c r="N1" s="1">
        <v>1500</v>
      </c>
      <c r="O1" s="1">
        <v>2500</v>
      </c>
      <c r="P1" s="1" t="s">
        <v>6</v>
      </c>
      <c r="Q1" s="1" t="s">
        <v>7</v>
      </c>
      <c r="R1" s="1" t="s">
        <v>8</v>
      </c>
      <c r="S1" s="1" t="s">
        <v>499</v>
      </c>
      <c r="T1" s="1" t="s">
        <v>103</v>
      </c>
      <c r="U1" s="1" t="s">
        <v>107</v>
      </c>
      <c r="V1" s="1" t="s">
        <v>147</v>
      </c>
      <c r="W1" s="1" t="s">
        <v>144</v>
      </c>
      <c r="X1" s="1" t="s">
        <v>145</v>
      </c>
      <c r="Y1" s="1" t="s">
        <v>146</v>
      </c>
      <c r="Z1" s="1" t="s">
        <v>104</v>
      </c>
      <c r="AA1" s="1" t="s">
        <v>99</v>
      </c>
      <c r="AB1" s="1" t="s">
        <v>105</v>
      </c>
      <c r="AC1" s="4">
        <v>3.125E-2</v>
      </c>
      <c r="AD1" s="4">
        <v>6.25E-2</v>
      </c>
      <c r="AE1" s="4">
        <v>0.125</v>
      </c>
      <c r="AF1" s="4" t="s">
        <v>107</v>
      </c>
      <c r="AG1" s="4" t="s">
        <v>106</v>
      </c>
      <c r="AH1" s="1">
        <v>150</v>
      </c>
      <c r="AI1" s="1">
        <v>300</v>
      </c>
      <c r="AJ1" s="1">
        <v>600</v>
      </c>
      <c r="AK1" s="1">
        <v>900</v>
      </c>
      <c r="AL1" s="1" t="s">
        <v>9</v>
      </c>
      <c r="AM1" s="1" t="s">
        <v>10</v>
      </c>
      <c r="AN1" s="1" t="s">
        <v>107</v>
      </c>
      <c r="AO1" s="1" t="s">
        <v>11</v>
      </c>
      <c r="AP1" s="1" t="s">
        <v>107</v>
      </c>
      <c r="AQ1" s="1" t="s">
        <v>152</v>
      </c>
      <c r="AR1" s="1" t="s">
        <v>435</v>
      </c>
      <c r="AS1" s="1" t="s">
        <v>436</v>
      </c>
      <c r="AT1" s="1" t="s">
        <v>343</v>
      </c>
      <c r="AU1" s="1" t="s">
        <v>344</v>
      </c>
      <c r="AV1" s="1" t="s">
        <v>12</v>
      </c>
      <c r="AW1" s="1" t="s">
        <v>371</v>
      </c>
      <c r="AX1" s="1" t="s">
        <v>372</v>
      </c>
      <c r="AY1" s="1" t="s">
        <v>373</v>
      </c>
      <c r="AZ1" s="2" t="s">
        <v>108</v>
      </c>
      <c r="BA1" s="2"/>
      <c r="BB1" s="2"/>
      <c r="BC1" s="2"/>
      <c r="BD1" s="2"/>
      <c r="BE1" s="2"/>
      <c r="BF1" s="2"/>
    </row>
    <row r="2" spans="1:58" x14ac:dyDescent="0.55000000000000004">
      <c r="A2" t="s">
        <v>0</v>
      </c>
      <c r="B2" t="s">
        <v>3</v>
      </c>
      <c r="C2" s="35" t="s">
        <v>378</v>
      </c>
      <c r="D2" t="s">
        <v>14</v>
      </c>
      <c r="E2" t="s">
        <v>16</v>
      </c>
      <c r="F2" t="s">
        <v>60</v>
      </c>
      <c r="G2" t="s">
        <v>46</v>
      </c>
      <c r="H2" t="s">
        <v>106</v>
      </c>
      <c r="I2">
        <v>150</v>
      </c>
      <c r="J2" t="s">
        <v>88</v>
      </c>
      <c r="K2" t="s">
        <v>88</v>
      </c>
      <c r="L2" t="s">
        <v>88</v>
      </c>
      <c r="M2" t="s">
        <v>88</v>
      </c>
      <c r="N2" t="s">
        <v>88</v>
      </c>
      <c r="O2" t="s">
        <v>88</v>
      </c>
      <c r="P2" t="s">
        <v>93</v>
      </c>
      <c r="Q2" t="s">
        <v>97</v>
      </c>
      <c r="R2" t="s">
        <v>100</v>
      </c>
      <c r="S2" t="s">
        <v>104</v>
      </c>
      <c r="T2" t="s">
        <v>99</v>
      </c>
      <c r="U2" t="s">
        <v>147</v>
      </c>
      <c r="V2" t="s">
        <v>97</v>
      </c>
      <c r="W2" t="s">
        <v>97</v>
      </c>
      <c r="X2" t="s">
        <v>148</v>
      </c>
      <c r="Y2" t="s">
        <v>148</v>
      </c>
      <c r="Z2" t="s">
        <v>99</v>
      </c>
      <c r="AA2" s="3">
        <v>3.125E-2</v>
      </c>
      <c r="AB2" t="s">
        <v>109</v>
      </c>
      <c r="AC2" s="3">
        <v>3.125E-2</v>
      </c>
      <c r="AD2" s="3">
        <v>6.25E-2</v>
      </c>
      <c r="AE2" s="3">
        <v>0.125</v>
      </c>
      <c r="AF2" t="s">
        <v>137</v>
      </c>
      <c r="AG2" s="1">
        <v>150</v>
      </c>
      <c r="AH2" s="3">
        <v>0.5</v>
      </c>
      <c r="AI2" s="3">
        <v>0.5</v>
      </c>
      <c r="AJ2" s="3">
        <v>0.5</v>
      </c>
      <c r="AK2" s="3">
        <v>0.5</v>
      </c>
      <c r="AL2" t="s">
        <v>109</v>
      </c>
      <c r="AM2" t="s">
        <v>107</v>
      </c>
      <c r="AN2" t="s">
        <v>152</v>
      </c>
      <c r="AO2" t="s">
        <v>107</v>
      </c>
      <c r="AP2" s="2" t="s">
        <v>152</v>
      </c>
      <c r="AQ2" t="s">
        <v>435</v>
      </c>
      <c r="AR2" t="s">
        <v>208</v>
      </c>
      <c r="AS2" t="s">
        <v>208</v>
      </c>
      <c r="AT2" t="s">
        <v>302</v>
      </c>
      <c r="AU2" t="s">
        <v>345</v>
      </c>
      <c r="AV2" t="s">
        <v>371</v>
      </c>
      <c r="AW2" t="s">
        <v>108</v>
      </c>
      <c r="AX2" s="5" t="s">
        <v>108</v>
      </c>
      <c r="AY2" t="s">
        <v>108</v>
      </c>
      <c r="AZ2" s="3">
        <v>0.4375</v>
      </c>
    </row>
    <row r="3" spans="1:58" x14ac:dyDescent="0.55000000000000004">
      <c r="A3" t="s">
        <v>1</v>
      </c>
      <c r="B3" t="s">
        <v>4</v>
      </c>
      <c r="C3" s="35" t="s">
        <v>6</v>
      </c>
      <c r="D3" t="s">
        <v>15</v>
      </c>
      <c r="E3" t="s">
        <v>17</v>
      </c>
      <c r="F3" t="s">
        <v>61</v>
      </c>
      <c r="G3" t="s">
        <v>47</v>
      </c>
      <c r="I3">
        <v>300</v>
      </c>
      <c r="J3" t="s">
        <v>89</v>
      </c>
      <c r="K3" t="s">
        <v>89</v>
      </c>
      <c r="L3" t="s">
        <v>89</v>
      </c>
      <c r="M3" t="s">
        <v>89</v>
      </c>
      <c r="N3" t="s">
        <v>89</v>
      </c>
      <c r="O3" t="s">
        <v>89</v>
      </c>
      <c r="P3" t="s">
        <v>94</v>
      </c>
      <c r="Q3" t="s">
        <v>98</v>
      </c>
      <c r="R3" t="s">
        <v>101</v>
      </c>
      <c r="S3" t="s">
        <v>103</v>
      </c>
      <c r="T3" t="s">
        <v>107</v>
      </c>
      <c r="U3" t="s">
        <v>144</v>
      </c>
      <c r="V3" t="s">
        <v>98</v>
      </c>
      <c r="X3" t="s">
        <v>149</v>
      </c>
      <c r="Y3" t="s">
        <v>149</v>
      </c>
      <c r="Z3" t="s">
        <v>105</v>
      </c>
      <c r="AA3" s="3">
        <v>6.25E-2</v>
      </c>
      <c r="AB3" t="s">
        <v>110</v>
      </c>
      <c r="AC3" s="3">
        <v>3.125E-2</v>
      </c>
      <c r="AD3" s="3">
        <v>6.25E-2</v>
      </c>
      <c r="AE3" s="3">
        <v>0.125</v>
      </c>
      <c r="AF3" t="s">
        <v>138</v>
      </c>
      <c r="AG3" s="1">
        <v>300</v>
      </c>
      <c r="AH3" s="3">
        <v>0.75</v>
      </c>
      <c r="AI3" s="3">
        <v>0.75</v>
      </c>
      <c r="AJ3" s="3">
        <v>0.75</v>
      </c>
      <c r="AK3" s="3">
        <v>0.75</v>
      </c>
      <c r="AL3" t="s">
        <v>110</v>
      </c>
      <c r="AM3" t="s">
        <v>97</v>
      </c>
      <c r="AN3" t="s">
        <v>153</v>
      </c>
      <c r="AP3" s="2" t="s">
        <v>343</v>
      </c>
      <c r="AQ3" t="s">
        <v>436</v>
      </c>
      <c r="AR3" t="s">
        <v>209</v>
      </c>
      <c r="AS3" t="s">
        <v>209</v>
      </c>
      <c r="AT3" t="s">
        <v>303</v>
      </c>
      <c r="AU3" t="s">
        <v>346</v>
      </c>
      <c r="AV3" t="s">
        <v>372</v>
      </c>
      <c r="AX3" s="5"/>
      <c r="AZ3" s="3">
        <v>0.5</v>
      </c>
    </row>
    <row r="4" spans="1:58" x14ac:dyDescent="0.55000000000000004">
      <c r="A4" t="s">
        <v>2</v>
      </c>
      <c r="B4" t="s">
        <v>5</v>
      </c>
      <c r="C4" s="35" t="s">
        <v>7</v>
      </c>
      <c r="E4" t="s">
        <v>18</v>
      </c>
      <c r="F4" t="s">
        <v>62</v>
      </c>
      <c r="G4" t="s">
        <v>48</v>
      </c>
      <c r="I4">
        <v>600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95</v>
      </c>
      <c r="R4" t="s">
        <v>102</v>
      </c>
      <c r="T4" t="s">
        <v>105</v>
      </c>
      <c r="U4" t="s">
        <v>145</v>
      </c>
      <c r="X4" t="s">
        <v>150</v>
      </c>
      <c r="Z4" t="s">
        <v>106</v>
      </c>
      <c r="AA4" s="3">
        <v>0.125</v>
      </c>
      <c r="AB4" t="s">
        <v>111</v>
      </c>
      <c r="AC4" s="3"/>
      <c r="AD4" s="3">
        <v>6.25E-2</v>
      </c>
      <c r="AE4" s="3">
        <v>0.125</v>
      </c>
      <c r="AG4" s="1">
        <v>600</v>
      </c>
      <c r="AH4" s="3">
        <v>1</v>
      </c>
      <c r="AI4" s="3">
        <v>1</v>
      </c>
      <c r="AJ4" s="3">
        <v>1</v>
      </c>
      <c r="AK4" s="3">
        <v>1</v>
      </c>
      <c r="AL4" t="s">
        <v>111</v>
      </c>
      <c r="AM4" t="s">
        <v>102</v>
      </c>
      <c r="AN4" t="s">
        <v>154</v>
      </c>
      <c r="AP4" s="2" t="s">
        <v>344</v>
      </c>
      <c r="AR4" t="s">
        <v>210</v>
      </c>
      <c r="AS4" t="s">
        <v>210</v>
      </c>
      <c r="AT4" t="s">
        <v>304</v>
      </c>
      <c r="AU4" t="s">
        <v>347</v>
      </c>
      <c r="AV4" t="s">
        <v>373</v>
      </c>
      <c r="AX4" s="5"/>
      <c r="AZ4" s="3">
        <v>0.5625</v>
      </c>
    </row>
    <row r="5" spans="1:58" x14ac:dyDescent="0.55000000000000004">
      <c r="C5" s="35" t="s">
        <v>8</v>
      </c>
      <c r="E5" t="s">
        <v>19</v>
      </c>
      <c r="F5" t="s">
        <v>63</v>
      </c>
      <c r="G5" t="s">
        <v>49</v>
      </c>
      <c r="I5">
        <v>900</v>
      </c>
      <c r="J5" t="s">
        <v>90</v>
      </c>
      <c r="K5" t="s">
        <v>90</v>
      </c>
      <c r="L5" t="s">
        <v>90</v>
      </c>
      <c r="M5" t="s">
        <v>90</v>
      </c>
      <c r="N5" t="s">
        <v>90</v>
      </c>
      <c r="O5" t="s">
        <v>90</v>
      </c>
      <c r="P5" t="s">
        <v>96</v>
      </c>
      <c r="U5" t="s">
        <v>146</v>
      </c>
      <c r="X5" t="s">
        <v>151</v>
      </c>
      <c r="Z5" t="s">
        <v>107</v>
      </c>
      <c r="AA5" s="3"/>
      <c r="AB5" t="s">
        <v>112</v>
      </c>
      <c r="AC5" s="3"/>
      <c r="AD5" s="3">
        <v>6.25E-2</v>
      </c>
      <c r="AE5" s="3">
        <v>0.125</v>
      </c>
      <c r="AG5" s="1">
        <v>900</v>
      </c>
      <c r="AH5" s="3">
        <v>1.25</v>
      </c>
      <c r="AI5" s="3">
        <v>1.25</v>
      </c>
      <c r="AJ5" s="3">
        <v>1.25</v>
      </c>
      <c r="AK5" s="3">
        <v>1.25</v>
      </c>
      <c r="AL5" t="s">
        <v>112</v>
      </c>
      <c r="AN5" t="s">
        <v>155</v>
      </c>
      <c r="AR5" t="s">
        <v>211</v>
      </c>
      <c r="AS5" t="s">
        <v>211</v>
      </c>
      <c r="AT5" t="s">
        <v>305</v>
      </c>
      <c r="AU5" t="s">
        <v>348</v>
      </c>
      <c r="AX5" s="5"/>
      <c r="AZ5" s="3">
        <v>0.625</v>
      </c>
    </row>
    <row r="6" spans="1:58" x14ac:dyDescent="0.55000000000000004">
      <c r="C6" s="35" t="s">
        <v>499</v>
      </c>
      <c r="E6" t="s">
        <v>20</v>
      </c>
      <c r="F6" t="s">
        <v>64</v>
      </c>
      <c r="G6" t="s">
        <v>50</v>
      </c>
      <c r="I6">
        <v>1500</v>
      </c>
      <c r="J6" t="s">
        <v>91</v>
      </c>
      <c r="K6" t="s">
        <v>91</v>
      </c>
      <c r="L6" t="s">
        <v>91</v>
      </c>
      <c r="M6" t="s">
        <v>91</v>
      </c>
      <c r="N6" t="s">
        <v>91</v>
      </c>
      <c r="O6" t="s">
        <v>91</v>
      </c>
      <c r="P6" t="s">
        <v>527</v>
      </c>
      <c r="AA6" s="3"/>
      <c r="AB6" t="s">
        <v>374</v>
      </c>
      <c r="AC6" s="3"/>
      <c r="AD6" s="3">
        <v>6.25E-2</v>
      </c>
      <c r="AE6" s="3">
        <v>0.125</v>
      </c>
      <c r="AG6" s="1"/>
      <c r="AH6" s="3">
        <v>1.5</v>
      </c>
      <c r="AI6" s="3">
        <v>1.5</v>
      </c>
      <c r="AJ6" s="3">
        <v>1.5</v>
      </c>
      <c r="AK6" s="3">
        <v>1.5</v>
      </c>
      <c r="AL6" t="s">
        <v>374</v>
      </c>
      <c r="AN6" t="s">
        <v>156</v>
      </c>
      <c r="AR6" t="s">
        <v>212</v>
      </c>
      <c r="AS6" t="s">
        <v>212</v>
      </c>
      <c r="AT6" t="s">
        <v>306</v>
      </c>
      <c r="AU6" t="s">
        <v>349</v>
      </c>
      <c r="AX6" s="5"/>
      <c r="AZ6" s="3">
        <v>0.75</v>
      </c>
    </row>
    <row r="7" spans="1:58" x14ac:dyDescent="0.55000000000000004">
      <c r="C7" s="35" t="s">
        <v>9</v>
      </c>
      <c r="E7" t="s">
        <v>21</v>
      </c>
      <c r="F7" t="s">
        <v>65</v>
      </c>
      <c r="G7" t="s">
        <v>51</v>
      </c>
      <c r="I7">
        <v>2500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 t="s">
        <v>528</v>
      </c>
      <c r="AB7" t="s">
        <v>113</v>
      </c>
      <c r="AC7" s="3"/>
      <c r="AD7" s="3">
        <v>6.25E-2</v>
      </c>
      <c r="AE7" s="3">
        <v>0.125</v>
      </c>
      <c r="AG7" s="1"/>
      <c r="AH7" s="3">
        <v>2</v>
      </c>
      <c r="AI7" s="3">
        <v>2</v>
      </c>
      <c r="AJ7" s="3">
        <v>2</v>
      </c>
      <c r="AK7" s="3">
        <v>2</v>
      </c>
      <c r="AL7" t="s">
        <v>113</v>
      </c>
      <c r="AN7" t="s">
        <v>157</v>
      </c>
      <c r="AR7" t="s">
        <v>213</v>
      </c>
      <c r="AS7" t="s">
        <v>213</v>
      </c>
      <c r="AT7" t="s">
        <v>307</v>
      </c>
      <c r="AU7" t="s">
        <v>350</v>
      </c>
      <c r="AX7" s="5"/>
      <c r="AZ7" s="3">
        <v>0.875</v>
      </c>
    </row>
    <row r="8" spans="1:58" x14ac:dyDescent="0.55000000000000004">
      <c r="C8" t="s">
        <v>10</v>
      </c>
      <c r="E8" t="s">
        <v>22</v>
      </c>
      <c r="F8" t="s">
        <v>66</v>
      </c>
      <c r="G8" t="s">
        <v>52</v>
      </c>
      <c r="J8" t="s">
        <v>92</v>
      </c>
      <c r="K8" t="s">
        <v>92</v>
      </c>
      <c r="L8" t="s">
        <v>92</v>
      </c>
      <c r="M8" t="s">
        <v>92</v>
      </c>
      <c r="N8" t="s">
        <v>92</v>
      </c>
      <c r="O8" t="s">
        <v>92</v>
      </c>
      <c r="P8" s="3">
        <v>0.5</v>
      </c>
      <c r="AB8" t="s">
        <v>114</v>
      </c>
      <c r="AC8" s="3"/>
      <c r="AD8" s="3">
        <v>6.25E-2</v>
      </c>
      <c r="AE8" s="3">
        <v>0.125</v>
      </c>
      <c r="AH8" s="3">
        <v>2.5</v>
      </c>
      <c r="AI8" s="3">
        <v>2.5</v>
      </c>
      <c r="AJ8" s="3">
        <v>2.5</v>
      </c>
      <c r="AK8" s="3">
        <v>2.5</v>
      </c>
      <c r="AL8" t="s">
        <v>114</v>
      </c>
      <c r="AN8" t="s">
        <v>158</v>
      </c>
      <c r="AR8" t="s">
        <v>214</v>
      </c>
      <c r="AS8" t="s">
        <v>214</v>
      </c>
      <c r="AT8" t="s">
        <v>308</v>
      </c>
      <c r="AU8" t="s">
        <v>351</v>
      </c>
      <c r="AX8" s="5"/>
      <c r="AZ8" s="3">
        <v>1</v>
      </c>
    </row>
    <row r="9" spans="1:58" x14ac:dyDescent="0.55000000000000004">
      <c r="C9" s="35" t="s">
        <v>11</v>
      </c>
      <c r="E9" t="s">
        <v>23</v>
      </c>
      <c r="F9" t="s">
        <v>67</v>
      </c>
      <c r="G9" t="s">
        <v>53</v>
      </c>
      <c r="J9">
        <v>3</v>
      </c>
      <c r="K9">
        <v>3</v>
      </c>
      <c r="L9">
        <v>3</v>
      </c>
      <c r="M9">
        <v>3</v>
      </c>
      <c r="N9">
        <v>3</v>
      </c>
      <c r="O9">
        <v>3</v>
      </c>
      <c r="P9" s="3">
        <v>0.75</v>
      </c>
      <c r="AB9" t="s">
        <v>115</v>
      </c>
      <c r="AC9" s="3"/>
      <c r="AD9" s="3">
        <v>6.25E-2</v>
      </c>
      <c r="AE9" s="3">
        <v>0.125</v>
      </c>
      <c r="AH9" s="3">
        <v>3</v>
      </c>
      <c r="AI9" s="3">
        <v>3</v>
      </c>
      <c r="AJ9" s="3">
        <v>3</v>
      </c>
      <c r="AK9" s="3">
        <v>3</v>
      </c>
      <c r="AL9" t="s">
        <v>115</v>
      </c>
      <c r="AN9" t="s">
        <v>159</v>
      </c>
      <c r="AR9" t="s">
        <v>215</v>
      </c>
      <c r="AS9" t="s">
        <v>215</v>
      </c>
      <c r="AT9" t="s">
        <v>309</v>
      </c>
      <c r="AU9" t="s">
        <v>352</v>
      </c>
      <c r="AX9" s="5"/>
      <c r="AZ9" s="3">
        <v>1.125</v>
      </c>
    </row>
    <row r="10" spans="1:58" x14ac:dyDescent="0.55000000000000004">
      <c r="C10" s="35" t="s">
        <v>12</v>
      </c>
      <c r="E10" t="s">
        <v>24</v>
      </c>
      <c r="F10" t="s">
        <v>68</v>
      </c>
      <c r="G10" t="s">
        <v>54</v>
      </c>
      <c r="J10">
        <v>4</v>
      </c>
      <c r="K10">
        <v>4</v>
      </c>
      <c r="L10">
        <v>4</v>
      </c>
      <c r="M10">
        <v>4</v>
      </c>
      <c r="N10">
        <v>4</v>
      </c>
      <c r="O10">
        <v>4</v>
      </c>
      <c r="P10" s="3">
        <v>1</v>
      </c>
      <c r="AB10" t="s">
        <v>116</v>
      </c>
      <c r="AC10" s="3">
        <v>3.125E-2</v>
      </c>
      <c r="AD10" s="3">
        <v>6.25E-2</v>
      </c>
      <c r="AE10" s="3">
        <v>0.125</v>
      </c>
      <c r="AH10" s="3">
        <v>4</v>
      </c>
      <c r="AI10" s="3">
        <v>4</v>
      </c>
      <c r="AJ10" s="3">
        <v>4</v>
      </c>
      <c r="AK10" s="3">
        <v>4</v>
      </c>
      <c r="AL10" t="s">
        <v>116</v>
      </c>
      <c r="AN10" t="s">
        <v>160</v>
      </c>
      <c r="AR10" t="s">
        <v>216</v>
      </c>
      <c r="AS10" t="s">
        <v>216</v>
      </c>
      <c r="AT10" t="s">
        <v>310</v>
      </c>
      <c r="AU10" t="s">
        <v>353</v>
      </c>
      <c r="AX10" s="5"/>
      <c r="AZ10" s="3">
        <v>1.25</v>
      </c>
    </row>
    <row r="11" spans="1:58" x14ac:dyDescent="0.55000000000000004">
      <c r="E11" t="s">
        <v>25</v>
      </c>
      <c r="F11" t="s">
        <v>69</v>
      </c>
      <c r="G11" t="s">
        <v>55</v>
      </c>
      <c r="J11">
        <v>5</v>
      </c>
      <c r="K11">
        <v>5</v>
      </c>
      <c r="L11">
        <v>5</v>
      </c>
      <c r="M11">
        <v>5</v>
      </c>
      <c r="N11">
        <v>5</v>
      </c>
      <c r="O11">
        <v>5</v>
      </c>
      <c r="P11" s="3">
        <v>1.25</v>
      </c>
      <c r="AB11" t="s">
        <v>117</v>
      </c>
      <c r="AC11" s="3"/>
      <c r="AD11" s="3">
        <v>6.25E-2</v>
      </c>
      <c r="AE11" s="3">
        <v>0.125</v>
      </c>
      <c r="AH11" s="3">
        <v>5</v>
      </c>
      <c r="AI11" s="3">
        <v>5</v>
      </c>
      <c r="AJ11" s="3">
        <v>5</v>
      </c>
      <c r="AK11" s="3">
        <v>5</v>
      </c>
      <c r="AL11" t="s">
        <v>117</v>
      </c>
      <c r="AN11" t="s">
        <v>161</v>
      </c>
      <c r="AR11" t="s">
        <v>217</v>
      </c>
      <c r="AS11" t="s">
        <v>217</v>
      </c>
      <c r="AT11" t="s">
        <v>311</v>
      </c>
      <c r="AU11" t="s">
        <v>354</v>
      </c>
      <c r="AX11" s="5"/>
      <c r="AZ11" s="3">
        <v>1.375</v>
      </c>
    </row>
    <row r="12" spans="1:58" x14ac:dyDescent="0.55000000000000004">
      <c r="E12" t="s">
        <v>26</v>
      </c>
      <c r="F12" t="s">
        <v>70</v>
      </c>
      <c r="G12" t="s">
        <v>56</v>
      </c>
      <c r="J12">
        <v>6</v>
      </c>
      <c r="K12">
        <v>6</v>
      </c>
      <c r="L12">
        <v>6</v>
      </c>
      <c r="M12">
        <v>6</v>
      </c>
      <c r="N12">
        <v>6</v>
      </c>
      <c r="O12">
        <v>6</v>
      </c>
      <c r="P12" s="3">
        <v>1.5</v>
      </c>
      <c r="AB12" t="s">
        <v>118</v>
      </c>
      <c r="AC12" s="3"/>
      <c r="AD12" s="3">
        <v>6.25E-2</v>
      </c>
      <c r="AE12" s="3">
        <v>0.125</v>
      </c>
      <c r="AH12" s="3">
        <v>6</v>
      </c>
      <c r="AI12" s="3">
        <v>6</v>
      </c>
      <c r="AJ12" s="3">
        <v>6</v>
      </c>
      <c r="AK12" s="3">
        <v>6</v>
      </c>
      <c r="AL12" t="s">
        <v>118</v>
      </c>
      <c r="AN12" t="s">
        <v>162</v>
      </c>
      <c r="AR12" t="s">
        <v>218</v>
      </c>
      <c r="AS12" t="s">
        <v>218</v>
      </c>
      <c r="AT12" t="s">
        <v>312</v>
      </c>
      <c r="AU12" t="s">
        <v>355</v>
      </c>
      <c r="AX12" s="5"/>
      <c r="AZ12" s="3">
        <v>1.5</v>
      </c>
    </row>
    <row r="13" spans="1:58" x14ac:dyDescent="0.55000000000000004">
      <c r="E13" t="s">
        <v>27</v>
      </c>
      <c r="F13" t="s">
        <v>71</v>
      </c>
      <c r="G13" t="s">
        <v>57</v>
      </c>
      <c r="J13">
        <v>8</v>
      </c>
      <c r="K13">
        <v>8</v>
      </c>
      <c r="L13">
        <v>8</v>
      </c>
      <c r="M13">
        <v>8</v>
      </c>
      <c r="N13">
        <v>8</v>
      </c>
      <c r="O13">
        <v>8</v>
      </c>
      <c r="P13" s="3">
        <v>2</v>
      </c>
      <c r="AB13" t="s">
        <v>119</v>
      </c>
      <c r="AC13" s="3"/>
      <c r="AD13" s="3">
        <v>6.25E-2</v>
      </c>
      <c r="AE13" s="3">
        <v>0.125</v>
      </c>
      <c r="AH13" s="3">
        <v>8</v>
      </c>
      <c r="AI13" s="3">
        <v>8</v>
      </c>
      <c r="AJ13" s="3">
        <v>8</v>
      </c>
      <c r="AK13" s="3">
        <v>8</v>
      </c>
      <c r="AL13" t="s">
        <v>119</v>
      </c>
      <c r="AN13" t="s">
        <v>163</v>
      </c>
      <c r="AR13" t="s">
        <v>219</v>
      </c>
      <c r="AS13" t="s">
        <v>219</v>
      </c>
      <c r="AT13" t="s">
        <v>313</v>
      </c>
      <c r="AU13" t="s">
        <v>356</v>
      </c>
      <c r="AX13" s="5"/>
      <c r="AZ13" s="3">
        <v>1.625</v>
      </c>
    </row>
    <row r="14" spans="1:58" x14ac:dyDescent="0.55000000000000004">
      <c r="E14" t="s">
        <v>28</v>
      </c>
      <c r="F14" t="s">
        <v>72</v>
      </c>
      <c r="G14" t="s">
        <v>58</v>
      </c>
      <c r="J14">
        <v>10</v>
      </c>
      <c r="K14">
        <v>10</v>
      </c>
      <c r="L14">
        <v>10</v>
      </c>
      <c r="M14">
        <v>10</v>
      </c>
      <c r="N14">
        <v>10</v>
      </c>
      <c r="O14">
        <v>10</v>
      </c>
      <c r="P14" s="3">
        <v>2.5</v>
      </c>
      <c r="AB14" t="s">
        <v>120</v>
      </c>
      <c r="AC14" s="3"/>
      <c r="AD14" s="3">
        <v>6.25E-2</v>
      </c>
      <c r="AE14" s="3">
        <v>0.125</v>
      </c>
      <c r="AH14" s="3">
        <v>10</v>
      </c>
      <c r="AI14" s="3">
        <v>10</v>
      </c>
      <c r="AJ14" s="3">
        <v>10</v>
      </c>
      <c r="AK14" s="3">
        <v>10</v>
      </c>
      <c r="AL14" t="s">
        <v>120</v>
      </c>
      <c r="AN14" t="s">
        <v>164</v>
      </c>
      <c r="AR14" t="s">
        <v>220</v>
      </c>
      <c r="AS14" t="s">
        <v>220</v>
      </c>
      <c r="AT14" t="s">
        <v>314</v>
      </c>
      <c r="AU14" t="s">
        <v>357</v>
      </c>
      <c r="AX14" s="5"/>
      <c r="AZ14" s="3">
        <v>1.75</v>
      </c>
    </row>
    <row r="15" spans="1:58" x14ac:dyDescent="0.55000000000000004">
      <c r="E15" t="s">
        <v>29</v>
      </c>
      <c r="F15" t="s">
        <v>73</v>
      </c>
      <c r="G15" t="s">
        <v>59</v>
      </c>
      <c r="J15">
        <v>12</v>
      </c>
      <c r="K15">
        <v>12</v>
      </c>
      <c r="L15">
        <v>12</v>
      </c>
      <c r="M15">
        <v>12</v>
      </c>
      <c r="N15">
        <v>12</v>
      </c>
      <c r="O15">
        <v>12</v>
      </c>
      <c r="P15" s="3">
        <v>3</v>
      </c>
      <c r="AB15" t="s">
        <v>121</v>
      </c>
      <c r="AC15" s="3"/>
      <c r="AD15" s="3">
        <v>6.25E-2</v>
      </c>
      <c r="AE15" s="3">
        <v>0.125</v>
      </c>
      <c r="AH15" s="3">
        <v>12</v>
      </c>
      <c r="AI15" s="3">
        <v>12</v>
      </c>
      <c r="AJ15" s="3">
        <v>12</v>
      </c>
      <c r="AK15" s="3">
        <v>12</v>
      </c>
      <c r="AL15" t="s">
        <v>121</v>
      </c>
      <c r="AN15" t="s">
        <v>165</v>
      </c>
      <c r="AR15" t="s">
        <v>221</v>
      </c>
      <c r="AS15" t="s">
        <v>221</v>
      </c>
      <c r="AT15" t="s">
        <v>315</v>
      </c>
      <c r="AU15" t="s">
        <v>358</v>
      </c>
      <c r="AX15" s="5"/>
      <c r="AZ15" s="3">
        <v>1.875</v>
      </c>
    </row>
    <row r="16" spans="1:58" x14ac:dyDescent="0.55000000000000004">
      <c r="E16" t="s">
        <v>30</v>
      </c>
      <c r="F16" t="s">
        <v>74</v>
      </c>
      <c r="J16">
        <v>14</v>
      </c>
      <c r="K16">
        <v>14</v>
      </c>
      <c r="L16">
        <v>14</v>
      </c>
      <c r="M16">
        <v>14</v>
      </c>
      <c r="N16">
        <v>14</v>
      </c>
      <c r="P16" s="3">
        <v>4</v>
      </c>
      <c r="AB16" t="s">
        <v>123</v>
      </c>
      <c r="AC16" s="3"/>
      <c r="AD16" s="3">
        <v>6.25E-2</v>
      </c>
      <c r="AE16" s="3">
        <v>0.125</v>
      </c>
      <c r="AH16" s="3">
        <v>14</v>
      </c>
      <c r="AI16" s="3">
        <v>14</v>
      </c>
      <c r="AJ16" s="3">
        <v>14</v>
      </c>
      <c r="AK16" s="3">
        <v>14</v>
      </c>
      <c r="AL16" t="s">
        <v>123</v>
      </c>
      <c r="AN16" t="s">
        <v>166</v>
      </c>
      <c r="AR16" t="s">
        <v>222</v>
      </c>
      <c r="AS16" t="s">
        <v>222</v>
      </c>
      <c r="AT16" t="s">
        <v>316</v>
      </c>
      <c r="AU16" t="s">
        <v>359</v>
      </c>
      <c r="AX16" s="5"/>
      <c r="AZ16" s="3">
        <v>2</v>
      </c>
    </row>
    <row r="17" spans="5:52" x14ac:dyDescent="0.55000000000000004">
      <c r="E17" t="s">
        <v>31</v>
      </c>
      <c r="F17" t="s">
        <v>75</v>
      </c>
      <c r="J17">
        <v>16</v>
      </c>
      <c r="K17">
        <v>16</v>
      </c>
      <c r="L17">
        <v>16</v>
      </c>
      <c r="M17">
        <v>16</v>
      </c>
      <c r="N17">
        <v>16</v>
      </c>
      <c r="P17" s="3">
        <v>5</v>
      </c>
      <c r="AB17" t="s">
        <v>122</v>
      </c>
      <c r="AC17" s="3"/>
      <c r="AD17" s="3">
        <v>6.25E-2</v>
      </c>
      <c r="AE17" s="3">
        <v>0.125</v>
      </c>
      <c r="AH17" s="3">
        <v>16</v>
      </c>
      <c r="AI17" s="3">
        <v>16</v>
      </c>
      <c r="AJ17" s="3">
        <v>16</v>
      </c>
      <c r="AK17" s="3">
        <v>16</v>
      </c>
      <c r="AL17" t="s">
        <v>122</v>
      </c>
      <c r="AN17" t="s">
        <v>167</v>
      </c>
      <c r="AR17" t="s">
        <v>223</v>
      </c>
      <c r="AS17" t="s">
        <v>223</v>
      </c>
      <c r="AT17" t="s">
        <v>317</v>
      </c>
      <c r="AU17" t="s">
        <v>360</v>
      </c>
      <c r="AX17" s="5"/>
      <c r="AZ17" s="3">
        <v>2.25</v>
      </c>
    </row>
    <row r="18" spans="5:52" x14ac:dyDescent="0.55000000000000004">
      <c r="E18" t="s">
        <v>32</v>
      </c>
      <c r="F18" t="s">
        <v>76</v>
      </c>
      <c r="J18">
        <v>18</v>
      </c>
      <c r="K18">
        <v>18</v>
      </c>
      <c r="L18">
        <v>18</v>
      </c>
      <c r="M18">
        <v>18</v>
      </c>
      <c r="N18">
        <v>18</v>
      </c>
      <c r="P18" s="3">
        <v>6</v>
      </c>
      <c r="AB18" t="s">
        <v>124</v>
      </c>
      <c r="AC18" s="3">
        <v>3.125E-2</v>
      </c>
      <c r="AD18" s="3">
        <v>6.25E-2</v>
      </c>
      <c r="AE18" s="3">
        <v>0.125</v>
      </c>
      <c r="AH18" s="3">
        <v>18</v>
      </c>
      <c r="AI18" s="3">
        <v>18</v>
      </c>
      <c r="AJ18" s="3">
        <v>18</v>
      </c>
      <c r="AK18" s="3">
        <v>18</v>
      </c>
      <c r="AL18" t="s">
        <v>124</v>
      </c>
      <c r="AN18" t="s">
        <v>168</v>
      </c>
      <c r="AR18" t="s">
        <v>224</v>
      </c>
      <c r="AS18" t="s">
        <v>224</v>
      </c>
      <c r="AT18" t="s">
        <v>318</v>
      </c>
      <c r="AU18" t="s">
        <v>361</v>
      </c>
      <c r="AX18" s="5"/>
      <c r="AZ18" s="3">
        <v>2.5</v>
      </c>
    </row>
    <row r="19" spans="5:52" x14ac:dyDescent="0.55000000000000004">
      <c r="E19" t="s">
        <v>33</v>
      </c>
      <c r="F19" t="s">
        <v>77</v>
      </c>
      <c r="J19">
        <v>20</v>
      </c>
      <c r="K19">
        <v>20</v>
      </c>
      <c r="L19">
        <v>20</v>
      </c>
      <c r="M19">
        <v>20</v>
      </c>
      <c r="N19">
        <v>20</v>
      </c>
      <c r="P19" s="3">
        <v>8</v>
      </c>
      <c r="AB19" t="s">
        <v>125</v>
      </c>
      <c r="AC19" s="3"/>
      <c r="AD19" s="3">
        <v>6.25E-2</v>
      </c>
      <c r="AE19" s="3">
        <v>0.125</v>
      </c>
      <c r="AH19" s="3">
        <v>20</v>
      </c>
      <c r="AI19" s="3">
        <v>20</v>
      </c>
      <c r="AJ19" s="3">
        <v>20</v>
      </c>
      <c r="AK19" s="3">
        <v>20</v>
      </c>
      <c r="AL19" t="s">
        <v>125</v>
      </c>
      <c r="AN19" t="s">
        <v>169</v>
      </c>
      <c r="AR19" t="s">
        <v>225</v>
      </c>
      <c r="AS19" t="s">
        <v>225</v>
      </c>
      <c r="AT19" t="s">
        <v>319</v>
      </c>
      <c r="AU19" t="s">
        <v>362</v>
      </c>
      <c r="AX19" s="5"/>
      <c r="AZ19" s="3">
        <v>2.75</v>
      </c>
    </row>
    <row r="20" spans="5:52" x14ac:dyDescent="0.55000000000000004">
      <c r="E20" t="s">
        <v>34</v>
      </c>
      <c r="F20" t="s">
        <v>78</v>
      </c>
      <c r="J20">
        <v>24</v>
      </c>
      <c r="K20">
        <v>24</v>
      </c>
      <c r="L20">
        <v>24</v>
      </c>
      <c r="M20">
        <v>24</v>
      </c>
      <c r="N20">
        <v>24</v>
      </c>
      <c r="P20" s="3">
        <v>10</v>
      </c>
      <c r="AB20" t="s">
        <v>126</v>
      </c>
      <c r="AC20" s="3"/>
      <c r="AD20" s="3">
        <v>6.25E-2</v>
      </c>
      <c r="AE20" s="3">
        <v>0.125</v>
      </c>
      <c r="AH20" s="3">
        <v>24</v>
      </c>
      <c r="AI20" s="3">
        <v>24</v>
      </c>
      <c r="AJ20" s="3">
        <v>24</v>
      </c>
      <c r="AK20" s="3">
        <v>24</v>
      </c>
      <c r="AL20" t="s">
        <v>126</v>
      </c>
      <c r="AN20" t="s">
        <v>170</v>
      </c>
      <c r="AR20" t="s">
        <v>226</v>
      </c>
      <c r="AS20" t="s">
        <v>226</v>
      </c>
      <c r="AT20" t="s">
        <v>320</v>
      </c>
      <c r="AU20" t="s">
        <v>363</v>
      </c>
      <c r="AX20" s="5"/>
      <c r="AZ20" s="3">
        <v>3</v>
      </c>
    </row>
    <row r="21" spans="5:52" x14ac:dyDescent="0.55000000000000004">
      <c r="E21" t="s">
        <v>35</v>
      </c>
      <c r="F21" t="s">
        <v>79</v>
      </c>
      <c r="P21" s="3">
        <v>12</v>
      </c>
      <c r="AB21" t="s">
        <v>127</v>
      </c>
      <c r="AC21" s="3"/>
      <c r="AD21" s="3">
        <v>6.25E-2</v>
      </c>
      <c r="AE21" s="3">
        <v>0.125</v>
      </c>
      <c r="AL21" t="s">
        <v>127</v>
      </c>
      <c r="AN21" t="s">
        <v>171</v>
      </c>
      <c r="AR21" t="s">
        <v>227</v>
      </c>
      <c r="AS21" t="s">
        <v>227</v>
      </c>
      <c r="AT21" t="s">
        <v>321</v>
      </c>
      <c r="AU21" t="s">
        <v>364</v>
      </c>
      <c r="AX21" s="5"/>
      <c r="AZ21" s="3">
        <v>3.25</v>
      </c>
    </row>
    <row r="22" spans="5:52" x14ac:dyDescent="0.55000000000000004">
      <c r="E22" t="s">
        <v>36</v>
      </c>
      <c r="F22" t="s">
        <v>80</v>
      </c>
      <c r="P22" s="3">
        <v>14</v>
      </c>
      <c r="AB22" t="s">
        <v>128</v>
      </c>
      <c r="AC22" s="3"/>
      <c r="AD22" s="3">
        <v>6.25E-2</v>
      </c>
      <c r="AE22" s="3">
        <v>0.125</v>
      </c>
      <c r="AL22" t="s">
        <v>128</v>
      </c>
      <c r="AN22" t="s">
        <v>172</v>
      </c>
      <c r="AR22" t="s">
        <v>228</v>
      </c>
      <c r="AS22" t="s">
        <v>228</v>
      </c>
      <c r="AT22" t="s">
        <v>322</v>
      </c>
      <c r="AU22" t="s">
        <v>365</v>
      </c>
      <c r="AX22" s="5"/>
      <c r="AZ22" s="3">
        <v>3.5</v>
      </c>
    </row>
    <row r="23" spans="5:52" x14ac:dyDescent="0.55000000000000004">
      <c r="E23" t="s">
        <v>36</v>
      </c>
      <c r="F23" t="s">
        <v>81</v>
      </c>
      <c r="P23" s="3">
        <v>16</v>
      </c>
      <c r="AB23" t="s">
        <v>129</v>
      </c>
      <c r="AC23" s="3">
        <v>3.125E-2</v>
      </c>
      <c r="AD23" s="3">
        <v>6.25E-2</v>
      </c>
      <c r="AE23" s="3">
        <v>0.125</v>
      </c>
      <c r="AL23" t="s">
        <v>129</v>
      </c>
      <c r="AN23" t="s">
        <v>173</v>
      </c>
      <c r="AR23" t="s">
        <v>229</v>
      </c>
      <c r="AS23" t="s">
        <v>229</v>
      </c>
      <c r="AT23" t="s">
        <v>323</v>
      </c>
      <c r="AU23" t="s">
        <v>366</v>
      </c>
      <c r="AX23" s="5"/>
      <c r="AZ23" s="3">
        <v>3.75</v>
      </c>
    </row>
    <row r="24" spans="5:52" x14ac:dyDescent="0.55000000000000004">
      <c r="E24" t="s">
        <v>37</v>
      </c>
      <c r="F24" t="s">
        <v>82</v>
      </c>
      <c r="P24" s="3">
        <v>18</v>
      </c>
      <c r="AB24" t="s">
        <v>130</v>
      </c>
      <c r="AC24" s="3"/>
      <c r="AD24" s="3"/>
      <c r="AE24" s="3">
        <v>0.125</v>
      </c>
      <c r="AL24" t="s">
        <v>130</v>
      </c>
      <c r="AN24" t="s">
        <v>174</v>
      </c>
      <c r="AR24" t="s">
        <v>230</v>
      </c>
      <c r="AS24" t="s">
        <v>230</v>
      </c>
      <c r="AT24" t="s">
        <v>324</v>
      </c>
      <c r="AU24" t="s">
        <v>367</v>
      </c>
      <c r="AX24" s="5"/>
      <c r="AZ24" s="3">
        <v>4</v>
      </c>
    </row>
    <row r="25" spans="5:52" x14ac:dyDescent="0.55000000000000004">
      <c r="E25" t="s">
        <v>38</v>
      </c>
      <c r="F25" t="s">
        <v>83</v>
      </c>
      <c r="P25" s="3">
        <v>20</v>
      </c>
      <c r="AB25" t="s">
        <v>131</v>
      </c>
      <c r="AC25" s="3"/>
      <c r="AD25" s="3"/>
      <c r="AE25" s="3">
        <v>0.125</v>
      </c>
      <c r="AL25" t="s">
        <v>131</v>
      </c>
      <c r="AN25" t="s">
        <v>175</v>
      </c>
      <c r="AR25" t="s">
        <v>231</v>
      </c>
      <c r="AS25" t="s">
        <v>231</v>
      </c>
      <c r="AT25" t="s">
        <v>325</v>
      </c>
      <c r="AU25" t="s">
        <v>368</v>
      </c>
      <c r="AX25" s="5"/>
    </row>
    <row r="26" spans="5:52" x14ac:dyDescent="0.55000000000000004">
      <c r="E26" t="s">
        <v>39</v>
      </c>
      <c r="F26" t="s">
        <v>84</v>
      </c>
      <c r="P26" s="3">
        <v>24</v>
      </c>
      <c r="AB26" t="s">
        <v>132</v>
      </c>
      <c r="AC26" s="3"/>
      <c r="AD26" s="3"/>
      <c r="AE26" s="3">
        <v>0.125</v>
      </c>
      <c r="AL26" t="s">
        <v>132</v>
      </c>
      <c r="AN26" t="s">
        <v>176</v>
      </c>
      <c r="AR26" t="s">
        <v>232</v>
      </c>
      <c r="AS26" t="s">
        <v>232</v>
      </c>
      <c r="AT26" t="s">
        <v>326</v>
      </c>
    </row>
    <row r="27" spans="5:52" x14ac:dyDescent="0.55000000000000004">
      <c r="E27" t="s">
        <v>40</v>
      </c>
      <c r="F27" t="s">
        <v>85</v>
      </c>
      <c r="P27">
        <v>150</v>
      </c>
      <c r="AB27" t="s">
        <v>135</v>
      </c>
      <c r="AC27" s="3"/>
      <c r="AD27" s="3"/>
      <c r="AE27" s="3">
        <v>0.125</v>
      </c>
      <c r="AL27" t="s">
        <v>135</v>
      </c>
      <c r="AN27" t="s">
        <v>177</v>
      </c>
      <c r="AR27" t="s">
        <v>233</v>
      </c>
      <c r="AS27" t="s">
        <v>233</v>
      </c>
      <c r="AT27" t="s">
        <v>327</v>
      </c>
    </row>
    <row r="28" spans="5:52" x14ac:dyDescent="0.55000000000000004">
      <c r="E28" t="s">
        <v>41</v>
      </c>
      <c r="F28" t="s">
        <v>86</v>
      </c>
      <c r="P28">
        <v>300</v>
      </c>
      <c r="AB28" t="s">
        <v>133</v>
      </c>
      <c r="AC28" s="3"/>
      <c r="AD28" s="3">
        <v>6.25E-2</v>
      </c>
      <c r="AE28" s="3"/>
      <c r="AL28" t="s">
        <v>133</v>
      </c>
      <c r="AN28" t="s">
        <v>178</v>
      </c>
      <c r="AR28" t="s">
        <v>234</v>
      </c>
      <c r="AS28" t="s">
        <v>234</v>
      </c>
      <c r="AT28" t="s">
        <v>328</v>
      </c>
    </row>
    <row r="29" spans="5:52" x14ac:dyDescent="0.55000000000000004">
      <c r="E29" t="s">
        <v>42</v>
      </c>
      <c r="F29" t="s">
        <v>87</v>
      </c>
      <c r="P29">
        <v>600</v>
      </c>
      <c r="AB29" t="s">
        <v>136</v>
      </c>
      <c r="AC29" s="3"/>
      <c r="AD29" s="3"/>
      <c r="AE29" s="3">
        <v>0.125</v>
      </c>
      <c r="AL29" t="s">
        <v>136</v>
      </c>
      <c r="AN29" t="s">
        <v>179</v>
      </c>
      <c r="AR29" t="s">
        <v>235</v>
      </c>
      <c r="AS29" t="s">
        <v>235</v>
      </c>
      <c r="AT29" t="s">
        <v>329</v>
      </c>
    </row>
    <row r="30" spans="5:52" x14ac:dyDescent="0.55000000000000004">
      <c r="E30" t="s">
        <v>43</v>
      </c>
      <c r="P30">
        <v>900</v>
      </c>
      <c r="AB30" t="s">
        <v>140</v>
      </c>
      <c r="AC30" s="3"/>
      <c r="AD30" s="3">
        <v>6.25E-2</v>
      </c>
      <c r="AE30" s="3">
        <v>0.125</v>
      </c>
      <c r="AL30" t="s">
        <v>140</v>
      </c>
      <c r="AN30" t="s">
        <v>180</v>
      </c>
      <c r="AR30" t="s">
        <v>236</v>
      </c>
      <c r="AS30" t="s">
        <v>236</v>
      </c>
      <c r="AT30" t="s">
        <v>330</v>
      </c>
    </row>
    <row r="31" spans="5:52" x14ac:dyDescent="0.55000000000000004">
      <c r="E31" t="s">
        <v>44</v>
      </c>
      <c r="P31">
        <v>1500</v>
      </c>
      <c r="AB31" t="s">
        <v>141</v>
      </c>
      <c r="AC31" s="3"/>
      <c r="AD31" s="3">
        <v>6.25E-2</v>
      </c>
      <c r="AE31" s="3">
        <v>0.125</v>
      </c>
      <c r="AL31" t="s">
        <v>141</v>
      </c>
      <c r="AN31" t="s">
        <v>181</v>
      </c>
      <c r="AR31" t="s">
        <v>237</v>
      </c>
      <c r="AS31" t="s">
        <v>237</v>
      </c>
      <c r="AT31" t="s">
        <v>331</v>
      </c>
    </row>
    <row r="32" spans="5:52" x14ac:dyDescent="0.55000000000000004">
      <c r="E32" t="s">
        <v>45</v>
      </c>
      <c r="AB32" t="s">
        <v>142</v>
      </c>
      <c r="AC32" s="3"/>
      <c r="AD32" s="3">
        <v>6.25E-2</v>
      </c>
      <c r="AE32" s="3">
        <v>0.125</v>
      </c>
      <c r="AL32" t="s">
        <v>142</v>
      </c>
      <c r="AN32" t="s">
        <v>182</v>
      </c>
      <c r="AR32" t="s">
        <v>238</v>
      </c>
      <c r="AS32" t="s">
        <v>238</v>
      </c>
      <c r="AT32" t="s">
        <v>332</v>
      </c>
    </row>
    <row r="33" spans="28:46" x14ac:dyDescent="0.55000000000000004">
      <c r="AB33" t="s">
        <v>143</v>
      </c>
      <c r="AC33" s="3"/>
      <c r="AD33" s="3">
        <v>6.25E-2</v>
      </c>
      <c r="AE33" s="3">
        <v>0.125</v>
      </c>
      <c r="AL33" t="s">
        <v>143</v>
      </c>
      <c r="AN33" t="s">
        <v>183</v>
      </c>
      <c r="AR33" t="s">
        <v>239</v>
      </c>
      <c r="AS33" t="s">
        <v>239</v>
      </c>
      <c r="AT33" t="s">
        <v>333</v>
      </c>
    </row>
    <row r="34" spans="28:46" x14ac:dyDescent="0.55000000000000004">
      <c r="AN34" t="s">
        <v>184</v>
      </c>
      <c r="AR34" t="s">
        <v>240</v>
      </c>
      <c r="AS34" t="s">
        <v>240</v>
      </c>
      <c r="AT34" t="s">
        <v>334</v>
      </c>
    </row>
    <row r="35" spans="28:46" x14ac:dyDescent="0.55000000000000004">
      <c r="AN35" t="s">
        <v>185</v>
      </c>
      <c r="AR35" t="s">
        <v>241</v>
      </c>
      <c r="AS35" t="s">
        <v>241</v>
      </c>
      <c r="AT35" t="s">
        <v>335</v>
      </c>
    </row>
    <row r="36" spans="28:46" x14ac:dyDescent="0.55000000000000004">
      <c r="AN36" t="s">
        <v>186</v>
      </c>
      <c r="AR36" t="s">
        <v>242</v>
      </c>
      <c r="AS36" t="s">
        <v>242</v>
      </c>
      <c r="AT36" t="s">
        <v>336</v>
      </c>
    </row>
    <row r="37" spans="28:46" x14ac:dyDescent="0.55000000000000004">
      <c r="AN37" t="s">
        <v>187</v>
      </c>
      <c r="AR37" t="s">
        <v>243</v>
      </c>
      <c r="AS37" t="s">
        <v>243</v>
      </c>
      <c r="AT37" t="s">
        <v>337</v>
      </c>
    </row>
    <row r="38" spans="28:46" x14ac:dyDescent="0.55000000000000004">
      <c r="AN38" t="s">
        <v>188</v>
      </c>
      <c r="AR38" t="s">
        <v>244</v>
      </c>
      <c r="AS38" t="s">
        <v>244</v>
      </c>
      <c r="AT38" t="s">
        <v>338</v>
      </c>
    </row>
    <row r="39" spans="28:46" x14ac:dyDescent="0.55000000000000004">
      <c r="AN39" t="s">
        <v>189</v>
      </c>
      <c r="AR39" t="s">
        <v>245</v>
      </c>
      <c r="AS39" t="s">
        <v>245</v>
      </c>
      <c r="AT39" t="s">
        <v>339</v>
      </c>
    </row>
    <row r="40" spans="28:46" x14ac:dyDescent="0.55000000000000004">
      <c r="AN40" t="s">
        <v>190</v>
      </c>
      <c r="AR40" t="s">
        <v>246</v>
      </c>
      <c r="AS40" t="s">
        <v>246</v>
      </c>
      <c r="AT40" t="s">
        <v>340</v>
      </c>
    </row>
    <row r="41" spans="28:46" x14ac:dyDescent="0.55000000000000004">
      <c r="AN41" t="s">
        <v>191</v>
      </c>
      <c r="AR41" t="s">
        <v>247</v>
      </c>
      <c r="AS41" t="s">
        <v>247</v>
      </c>
      <c r="AT41" t="s">
        <v>341</v>
      </c>
    </row>
    <row r="42" spans="28:46" x14ac:dyDescent="0.55000000000000004">
      <c r="AN42" t="s">
        <v>192</v>
      </c>
      <c r="AR42" t="s">
        <v>248</v>
      </c>
      <c r="AS42" t="s">
        <v>248</v>
      </c>
      <c r="AT42" t="s">
        <v>342</v>
      </c>
    </row>
    <row r="43" spans="28:46" x14ac:dyDescent="0.55000000000000004">
      <c r="AN43" t="s">
        <v>193</v>
      </c>
      <c r="AR43" t="s">
        <v>249</v>
      </c>
      <c r="AS43" t="s">
        <v>249</v>
      </c>
    </row>
    <row r="44" spans="28:46" x14ac:dyDescent="0.55000000000000004">
      <c r="AN44" t="s">
        <v>194</v>
      </c>
      <c r="AR44" t="s">
        <v>250</v>
      </c>
      <c r="AS44" t="s">
        <v>250</v>
      </c>
    </row>
    <row r="45" spans="28:46" x14ac:dyDescent="0.55000000000000004">
      <c r="AN45" t="s">
        <v>195</v>
      </c>
      <c r="AR45" t="s">
        <v>251</v>
      </c>
      <c r="AS45" t="s">
        <v>251</v>
      </c>
    </row>
    <row r="46" spans="28:46" x14ac:dyDescent="0.55000000000000004">
      <c r="AN46" t="s">
        <v>196</v>
      </c>
      <c r="AR46" t="s">
        <v>252</v>
      </c>
      <c r="AS46" t="s">
        <v>252</v>
      </c>
    </row>
    <row r="47" spans="28:46" x14ac:dyDescent="0.55000000000000004">
      <c r="AN47" t="s">
        <v>197</v>
      </c>
      <c r="AR47" t="s">
        <v>253</v>
      </c>
      <c r="AS47" t="s">
        <v>253</v>
      </c>
    </row>
    <row r="48" spans="28:46" x14ac:dyDescent="0.55000000000000004">
      <c r="AN48" t="s">
        <v>198</v>
      </c>
      <c r="AR48" t="s">
        <v>254</v>
      </c>
      <c r="AS48" t="s">
        <v>254</v>
      </c>
    </row>
    <row r="49" spans="40:45" x14ac:dyDescent="0.55000000000000004">
      <c r="AN49" t="s">
        <v>199</v>
      </c>
      <c r="AR49" t="s">
        <v>255</v>
      </c>
      <c r="AS49" t="s">
        <v>255</v>
      </c>
    </row>
    <row r="50" spans="40:45" x14ac:dyDescent="0.55000000000000004">
      <c r="AN50" t="s">
        <v>200</v>
      </c>
      <c r="AR50" t="s">
        <v>256</v>
      </c>
      <c r="AS50" t="s">
        <v>256</v>
      </c>
    </row>
    <row r="51" spans="40:45" x14ac:dyDescent="0.55000000000000004">
      <c r="AN51" t="s">
        <v>201</v>
      </c>
      <c r="AR51" t="s">
        <v>257</v>
      </c>
      <c r="AS51" t="s">
        <v>257</v>
      </c>
    </row>
    <row r="52" spans="40:45" x14ac:dyDescent="0.55000000000000004">
      <c r="AN52" t="s">
        <v>202</v>
      </c>
      <c r="AR52" t="s">
        <v>258</v>
      </c>
      <c r="AS52" t="s">
        <v>258</v>
      </c>
    </row>
    <row r="53" spans="40:45" x14ac:dyDescent="0.55000000000000004">
      <c r="AN53" t="s">
        <v>203</v>
      </c>
      <c r="AR53" t="s">
        <v>259</v>
      </c>
      <c r="AS53" t="s">
        <v>259</v>
      </c>
    </row>
    <row r="54" spans="40:45" x14ac:dyDescent="0.55000000000000004">
      <c r="AN54" t="s">
        <v>204</v>
      </c>
      <c r="AR54" t="s">
        <v>260</v>
      </c>
      <c r="AS54" t="s">
        <v>260</v>
      </c>
    </row>
    <row r="55" spans="40:45" x14ac:dyDescent="0.55000000000000004">
      <c r="AN55" t="s">
        <v>205</v>
      </c>
      <c r="AR55" t="s">
        <v>261</v>
      </c>
      <c r="AS55" t="s">
        <v>261</v>
      </c>
    </row>
    <row r="56" spans="40:45" x14ac:dyDescent="0.55000000000000004">
      <c r="AN56" t="s">
        <v>206</v>
      </c>
      <c r="AR56" t="s">
        <v>262</v>
      </c>
      <c r="AS56" t="s">
        <v>262</v>
      </c>
    </row>
    <row r="57" spans="40:45" x14ac:dyDescent="0.55000000000000004">
      <c r="AN57" t="s">
        <v>207</v>
      </c>
      <c r="AR57" t="s">
        <v>263</v>
      </c>
      <c r="AS57" t="s">
        <v>263</v>
      </c>
    </row>
    <row r="58" spans="40:45" x14ac:dyDescent="0.55000000000000004">
      <c r="AR58" t="s">
        <v>264</v>
      </c>
      <c r="AS58" t="s">
        <v>264</v>
      </c>
    </row>
    <row r="59" spans="40:45" x14ac:dyDescent="0.55000000000000004">
      <c r="AR59" t="s">
        <v>265</v>
      </c>
      <c r="AS59" t="s">
        <v>265</v>
      </c>
    </row>
    <row r="60" spans="40:45" x14ac:dyDescent="0.55000000000000004">
      <c r="AR60" t="s">
        <v>266</v>
      </c>
      <c r="AS60" t="s">
        <v>266</v>
      </c>
    </row>
    <row r="61" spans="40:45" x14ac:dyDescent="0.55000000000000004">
      <c r="AR61" t="s">
        <v>267</v>
      </c>
      <c r="AS61" t="s">
        <v>267</v>
      </c>
    </row>
    <row r="62" spans="40:45" x14ac:dyDescent="0.55000000000000004">
      <c r="AR62" t="s">
        <v>268</v>
      </c>
      <c r="AS62" t="s">
        <v>268</v>
      </c>
    </row>
    <row r="63" spans="40:45" x14ac:dyDescent="0.55000000000000004">
      <c r="AR63" t="s">
        <v>269</v>
      </c>
      <c r="AS63" t="s">
        <v>269</v>
      </c>
    </row>
    <row r="64" spans="40:45" x14ac:dyDescent="0.55000000000000004">
      <c r="AR64" t="s">
        <v>270</v>
      </c>
      <c r="AS64" t="s">
        <v>270</v>
      </c>
    </row>
    <row r="65" spans="44:45" x14ac:dyDescent="0.55000000000000004">
      <c r="AR65" t="s">
        <v>271</v>
      </c>
      <c r="AS65" t="s">
        <v>271</v>
      </c>
    </row>
    <row r="66" spans="44:45" x14ac:dyDescent="0.55000000000000004">
      <c r="AR66" t="s">
        <v>272</v>
      </c>
      <c r="AS66" t="s">
        <v>272</v>
      </c>
    </row>
    <row r="67" spans="44:45" x14ac:dyDescent="0.55000000000000004">
      <c r="AR67" t="s">
        <v>273</v>
      </c>
      <c r="AS67" t="s">
        <v>273</v>
      </c>
    </row>
    <row r="68" spans="44:45" x14ac:dyDescent="0.55000000000000004">
      <c r="AR68" t="s">
        <v>274</v>
      </c>
      <c r="AS68" t="s">
        <v>274</v>
      </c>
    </row>
    <row r="69" spans="44:45" x14ac:dyDescent="0.55000000000000004">
      <c r="AR69" t="s">
        <v>275</v>
      </c>
      <c r="AS69" t="s">
        <v>275</v>
      </c>
    </row>
    <row r="70" spans="44:45" x14ac:dyDescent="0.55000000000000004">
      <c r="AR70" t="s">
        <v>276</v>
      </c>
      <c r="AS70" t="s">
        <v>276</v>
      </c>
    </row>
    <row r="71" spans="44:45" x14ac:dyDescent="0.55000000000000004">
      <c r="AR71" t="s">
        <v>288</v>
      </c>
      <c r="AS71" t="s">
        <v>277</v>
      </c>
    </row>
    <row r="72" spans="44:45" x14ac:dyDescent="0.55000000000000004">
      <c r="AS72" t="s">
        <v>278</v>
      </c>
    </row>
    <row r="73" spans="44:45" x14ac:dyDescent="0.55000000000000004">
      <c r="AS73" t="s">
        <v>279</v>
      </c>
    </row>
    <row r="74" spans="44:45" x14ac:dyDescent="0.55000000000000004">
      <c r="AS74" t="s">
        <v>280</v>
      </c>
    </row>
    <row r="75" spans="44:45" x14ac:dyDescent="0.55000000000000004">
      <c r="AS75" t="s">
        <v>281</v>
      </c>
    </row>
    <row r="76" spans="44:45" x14ac:dyDescent="0.55000000000000004">
      <c r="AS76" t="s">
        <v>282</v>
      </c>
    </row>
    <row r="77" spans="44:45" x14ac:dyDescent="0.55000000000000004">
      <c r="AS77" t="s">
        <v>283</v>
      </c>
    </row>
    <row r="78" spans="44:45" x14ac:dyDescent="0.55000000000000004">
      <c r="AS78" t="s">
        <v>284</v>
      </c>
    </row>
    <row r="79" spans="44:45" x14ac:dyDescent="0.55000000000000004">
      <c r="AS79" t="s">
        <v>285</v>
      </c>
    </row>
    <row r="80" spans="44:45" x14ac:dyDescent="0.55000000000000004">
      <c r="AS80" t="s">
        <v>286</v>
      </c>
    </row>
    <row r="81" spans="45:45" x14ac:dyDescent="0.55000000000000004">
      <c r="AS81" t="s">
        <v>287</v>
      </c>
    </row>
    <row r="82" spans="45:45" x14ac:dyDescent="0.55000000000000004">
      <c r="AS82" t="s">
        <v>288</v>
      </c>
    </row>
    <row r="83" spans="45:45" x14ac:dyDescent="0.55000000000000004">
      <c r="AS83" t="s">
        <v>289</v>
      </c>
    </row>
    <row r="84" spans="45:45" x14ac:dyDescent="0.55000000000000004">
      <c r="AS84" t="s">
        <v>290</v>
      </c>
    </row>
    <row r="85" spans="45:45" x14ac:dyDescent="0.55000000000000004">
      <c r="AS85" t="s">
        <v>291</v>
      </c>
    </row>
    <row r="86" spans="45:45" x14ac:dyDescent="0.55000000000000004">
      <c r="AS86" t="s">
        <v>292</v>
      </c>
    </row>
    <row r="87" spans="45:45" x14ac:dyDescent="0.55000000000000004">
      <c r="AS87" t="s">
        <v>293</v>
      </c>
    </row>
    <row r="88" spans="45:45" x14ac:dyDescent="0.55000000000000004">
      <c r="AS88" t="s">
        <v>294</v>
      </c>
    </row>
    <row r="89" spans="45:45" x14ac:dyDescent="0.55000000000000004">
      <c r="AS89" t="s">
        <v>295</v>
      </c>
    </row>
    <row r="90" spans="45:45" x14ac:dyDescent="0.55000000000000004">
      <c r="AS90" t="s">
        <v>296</v>
      </c>
    </row>
    <row r="91" spans="45:45" x14ac:dyDescent="0.55000000000000004">
      <c r="AS91" t="s">
        <v>297</v>
      </c>
    </row>
    <row r="92" spans="45:45" x14ac:dyDescent="0.55000000000000004">
      <c r="AS92" t="s">
        <v>298</v>
      </c>
    </row>
    <row r="93" spans="45:45" x14ac:dyDescent="0.55000000000000004">
      <c r="AS93" t="s">
        <v>299</v>
      </c>
    </row>
    <row r="94" spans="45:45" x14ac:dyDescent="0.55000000000000004">
      <c r="AS94" t="s">
        <v>300</v>
      </c>
    </row>
    <row r="95" spans="45:45" x14ac:dyDescent="0.55000000000000004">
      <c r="AS95" t="s">
        <v>301</v>
      </c>
    </row>
  </sheetData>
  <sortState ref="P8:P26">
    <sortCondition ref="P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FD8"/>
  <sheetViews>
    <sheetView showGridLines="0" zoomScale="85" zoomScaleNormal="85" workbookViewId="0">
      <pane ySplit="3" topLeftCell="A4" activePane="bottomLeft" state="frozen"/>
      <selection pane="bottomLeft" activeCell="G7" sqref="G7"/>
    </sheetView>
  </sheetViews>
  <sheetFormatPr baseColWidth="10" defaultRowHeight="14.4" x14ac:dyDescent="0.55000000000000004"/>
  <cols>
    <col min="1" max="1" width="5.26171875" style="32" bestFit="1" customWidth="1"/>
    <col min="2" max="2" width="24.15625" style="32" customWidth="1"/>
    <col min="3" max="3" width="24.578125" style="32" customWidth="1"/>
    <col min="4" max="4" width="25.68359375" style="32" customWidth="1"/>
    <col min="5" max="5" width="10.734375" style="32" bestFit="1" customWidth="1"/>
    <col min="6" max="19" width="13.7890625" style="32" customWidth="1"/>
    <col min="20" max="16374" width="10.9453125" style="32" hidden="1" customWidth="1"/>
    <col min="16375" max="16375" width="3.15625" style="27" customWidth="1"/>
    <col min="16376" max="16377" width="11.05078125" style="39" bestFit="1" customWidth="1"/>
    <col min="16378" max="16378" width="11.1015625" style="39" bestFit="1" customWidth="1"/>
    <col min="16379" max="16379" width="11.9453125" style="39" bestFit="1" customWidth="1"/>
    <col min="16380" max="16382" width="6.15625" style="39" bestFit="1" customWidth="1"/>
    <col min="16383" max="16383" width="11.1015625" style="39" bestFit="1" customWidth="1"/>
    <col min="16384" max="16384" width="13.3671875" style="39" customWidth="1"/>
  </cols>
  <sheetData>
    <row r="1" spans="1:16384" s="1" customFormat="1" ht="42.4" customHeight="1" x14ac:dyDescent="0.55000000000000004">
      <c r="B1"/>
      <c r="C1"/>
      <c r="E1" s="31">
        <f>+COUNT(E4:E1048576)</f>
        <v>5</v>
      </c>
      <c r="F1" s="31">
        <f>SUM(E4:E1048576)</f>
        <v>54</v>
      </c>
      <c r="G1" s="4"/>
      <c r="H1"/>
      <c r="I1" s="6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 s="65">
        <f>SUM(XEV4:XEV1048576)</f>
        <v>1165.3216199323497</v>
      </c>
      <c r="XEW1" s="66"/>
      <c r="XEX1" s="16"/>
      <c r="XEY1" s="17"/>
      <c r="XEZ1" s="16"/>
      <c r="XFA1" s="16"/>
      <c r="XFB1" s="65">
        <f>SUM(XFB4:XFB1048576)</f>
        <v>499.6875</v>
      </c>
      <c r="XFC1" s="17"/>
      <c r="XFD1" s="16"/>
    </row>
    <row r="2" spans="1:16384" s="13" customFormat="1" ht="33" customHeight="1" x14ac:dyDescent="0.55000000000000004">
      <c r="A2" s="28" t="s">
        <v>379</v>
      </c>
      <c r="B2" s="28" t="s">
        <v>375</v>
      </c>
      <c r="C2" s="28" t="s">
        <v>370</v>
      </c>
      <c r="D2" s="28" t="s">
        <v>376</v>
      </c>
      <c r="E2" s="28" t="s">
        <v>139</v>
      </c>
      <c r="F2" s="68" t="s">
        <v>377</v>
      </c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XEU2" s="27"/>
      <c r="XEV2" s="30" t="s">
        <v>424</v>
      </c>
      <c r="XEW2" s="30" t="s">
        <v>425</v>
      </c>
      <c r="XEX2" s="29" t="s">
        <v>426</v>
      </c>
      <c r="XEY2" s="30" t="s">
        <v>427</v>
      </c>
      <c r="XEZ2" s="29" t="s">
        <v>428</v>
      </c>
      <c r="XFA2" s="29" t="s">
        <v>429</v>
      </c>
      <c r="XFB2" s="29" t="s">
        <v>430</v>
      </c>
      <c r="XFC2" s="30" t="s">
        <v>431</v>
      </c>
      <c r="XFD2" s="29" t="s">
        <v>432</v>
      </c>
    </row>
    <row r="3" spans="1:16384" s="1" customFormat="1" ht="0.75" customHeight="1" x14ac:dyDescent="0.55000000000000004">
      <c r="A3" s="1">
        <v>0</v>
      </c>
      <c r="B3"/>
      <c r="C3"/>
      <c r="E3"/>
      <c r="F3"/>
      <c r="G3" s="4"/>
      <c r="H3"/>
      <c r="I3" s="6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 s="27"/>
      <c r="XEV3" s="67"/>
      <c r="XEW3" s="66"/>
      <c r="XEX3" s="16"/>
      <c r="XEY3" s="17"/>
      <c r="XEZ3" s="16"/>
      <c r="XFA3" s="16"/>
      <c r="XFB3" s="16"/>
      <c r="XFC3" s="17"/>
      <c r="XFD3" s="64" t="e">
        <f>ROUNDUP(E3/XEX3,0)</f>
        <v>#DIV/0!</v>
      </c>
    </row>
    <row r="4" spans="1:16384" x14ac:dyDescent="0.55000000000000004">
      <c r="A4" s="32">
        <v>1</v>
      </c>
      <c r="B4" t="s">
        <v>0</v>
      </c>
      <c r="C4" t="s">
        <v>499</v>
      </c>
      <c r="D4" t="s">
        <v>104</v>
      </c>
      <c r="E4" s="32">
        <v>1</v>
      </c>
      <c r="F4" s="32" t="s">
        <v>500</v>
      </c>
      <c r="G4" t="s">
        <v>109</v>
      </c>
      <c r="H4" s="32" t="s">
        <v>501</v>
      </c>
      <c r="I4">
        <v>6.25E-2</v>
      </c>
      <c r="J4" s="32" t="s">
        <v>502</v>
      </c>
      <c r="K4" t="s">
        <v>137</v>
      </c>
      <c r="L4" s="32" t="s">
        <v>503</v>
      </c>
      <c r="M4">
        <v>150</v>
      </c>
      <c r="N4" s="32" t="s">
        <v>504</v>
      </c>
      <c r="O4">
        <v>0.5</v>
      </c>
      <c r="XEV4" s="39">
        <f>IFERROR($E$4*$XEW$4,"")</f>
        <v>1.5607432303034092E-2</v>
      </c>
      <c r="XEW4" s="39">
        <f>IFERROR(INDEX(SOFTGASKET!$AD$2:$AH$22,MATCH(O4,SOFTGASKET!$AD$3:$AD$22,0)+1,MATCH(M4,SOFTGASKET!$AE$3:$AH$3,0)+1)*INDEX(SOFTGASKET!$A$2:$M$34,MATCH(G4,SOFTGASKET!$A$3:$A$34,0)+1,MATCH(I4,SOFTGASKET!$K$2:$M$2,0)+10),"")</f>
        <v>1.5607432303034092E-2</v>
      </c>
      <c r="XEX4" s="39">
        <f>IFERROR(INDEX(SOFTGASKET!$AP$2:$AT$22,MATCH(O4,SOFTGASKET!$AP$3:$AP$22,0)+1,MATCH(M4,SOFTGASKET!$AQ$3:$AT$3,0)+1),"")</f>
        <v>25</v>
      </c>
      <c r="XEY4" s="39">
        <f>IFERROR(25.4*$I$4,"")</f>
        <v>1.5874999999999999</v>
      </c>
      <c r="XEZ4" s="39">
        <f>IFERROR(INDEX(SOFTGASKET!$R$2:$V$22,MATCH(O4,SOFTGASKET!$R$3:$R$22,0)+1,MATCH(M4,SOFTGASKET!$S$3:$V$3,0)+1),"")</f>
        <v>48</v>
      </c>
      <c r="XFA4" s="39">
        <f>IFERROR(INDEX(SOFTGASKET!$R$2:$V$22,MATCH(O4,SOFTGASKET!$R$3:$R$22,0)+1,MATCH(M4,SOFTGASKET!$S$3:$V$3,0)+1),"")</f>
        <v>48</v>
      </c>
      <c r="XFB4" s="39">
        <f>IFERROR($XEX$4*$XEY$4,"")</f>
        <v>39.6875</v>
      </c>
      <c r="XFC4" s="39">
        <f>IFERROR($XEX$4*$XEW$4,"")</f>
        <v>0.39018580757585231</v>
      </c>
      <c r="XFD4" s="39">
        <f>IFERROR(ROUNDUP(E4/XEX4,0),"")</f>
        <v>1</v>
      </c>
    </row>
    <row r="5" spans="1:16384" x14ac:dyDescent="0.55000000000000004">
      <c r="A5" s="32">
        <v>2</v>
      </c>
      <c r="B5" t="s">
        <v>0</v>
      </c>
      <c r="C5" t="s">
        <v>12</v>
      </c>
      <c r="D5" t="s">
        <v>371</v>
      </c>
      <c r="E5" s="32">
        <v>1</v>
      </c>
      <c r="F5" s="32" t="s">
        <v>504</v>
      </c>
      <c r="G5">
        <v>0.5625</v>
      </c>
      <c r="H5" s="32" t="s">
        <v>505</v>
      </c>
      <c r="I5">
        <v>2.5</v>
      </c>
      <c r="XEV5" s="39">
        <f>IFERROR($E$5*$XEW$5,"")</f>
        <v>0.13875000000000001</v>
      </c>
      <c r="XEW5" s="39">
        <f>IFERROR((INDEX(ESPÁRRAGOS!$C$82:$Z$158,MATCH(I5,ESPÁRRAGOS!$C$86:$C$158,0)+4,(MATCH(G5,ESPÁRRAGOS!$D$82:$Z$82,0)+1))),"")</f>
        <v>0.13875000000000001</v>
      </c>
      <c r="XEX5" s="39">
        <f>IFERROR(E5/XFD5,"")</f>
        <v>1</v>
      </c>
      <c r="XEZ5" s="39">
        <f>IFERROR(IF((INDEX(ESPÁRRAGOS!$C$1:$Z$80,MATCH(I5,ESPÁRRAGOS!$C$8:$C$80,0)+7,(MATCH(G5,ESPÁRRAGOS!$D$1:$Z$1,0)+1)))=1,(LOOKUP(G5,ESPÁRRAGOS!$D$1:$Z$1,ESPÁRRAGOS!$D$2:$Z$2)),ESPÁRRAGOS!$AC$2),"")</f>
        <v>250</v>
      </c>
      <c r="XFA5" s="39">
        <f>IFERROR(IF((INDEX(ESPÁRRAGOS!$C$1:$Z$80,MATCH(I5,ESPÁRRAGOS!$C$8:$C$80,0)+7,(MATCH(G5,ESPÁRRAGOS!$D$1:$Z$1,0)+1)))=1,$I$5*25.4,ESPÁRRAGOS!$AC$4),"")</f>
        <v>300</v>
      </c>
      <c r="XFB5" s="39">
        <f>IFERROR(IF((INDEX(ESPÁRRAGOS!$C$1:$Z$80,MATCH(I5,ESPÁRRAGOS!$C$8:$C$80,0)+7,(MATCH(G5,ESPÁRRAGOS!$D$1:$Z$1,0)+1)))=1,(LOOKUP(G5,ESPÁRRAGOS!$D$1:$Z$1,ESPÁRRAGOS!$D$3:$Z$3)),ESPÁRRAGOS!$AC$3),"")</f>
        <v>100</v>
      </c>
      <c r="XFC5" s="39">
        <f>IFERROR($XEX$5*$XEW$5,"")</f>
        <v>0.13875000000000001</v>
      </c>
      <c r="XFD5" s="39">
        <f>IFERROR(ROUNDUP($E$5/(INDEX(ESPÁRRAGOS!$C$1:$Z$80,MATCH(I5,ESPÁRRAGOS!$C$8:$C$80,0)+7,(MATCH(G5,ESPÁRRAGOS!$D$1:$Z$1,0)+1))),0),"")</f>
        <v>1</v>
      </c>
    </row>
    <row r="6" spans="1:16384" x14ac:dyDescent="0.55000000000000004">
      <c r="A6" s="32">
        <v>3</v>
      </c>
      <c r="B6" t="s">
        <v>0</v>
      </c>
      <c r="C6" t="s">
        <v>6</v>
      </c>
      <c r="D6" t="s">
        <v>96</v>
      </c>
      <c r="E6" s="32">
        <v>50</v>
      </c>
      <c r="F6" s="32" t="s">
        <v>529</v>
      </c>
      <c r="G6">
        <v>24</v>
      </c>
      <c r="H6" s="32" t="s">
        <v>503</v>
      </c>
      <c r="I6">
        <v>1500</v>
      </c>
      <c r="XEV6" s="39">
        <f>IFERROR($E$6*$XEW$6,"")</f>
        <v>1126.8321880962721</v>
      </c>
      <c r="XEW6" s="39">
        <f>IFERROR(INDEX(KITS!$A$25:$F$45,MATCH(G6,KITS!$A$27:$A$45,0)+2,MATCH(I6,KITS!$B$26:$F$26,0)+1),"")</f>
        <v>22.536643761925443</v>
      </c>
      <c r="XEX6" s="39">
        <f>1</f>
        <v>1</v>
      </c>
      <c r="XEY6" s="39">
        <f>IFERROR(LOOKUP(INDEX(KITS!$O$48:T$68,MATCH(G6,KITS!$O$50:$O$68,0)+2,MATCH(I6,KITS!$P$49:$T$49,0)+1),KITS!$A$72:$A$78,KITS!$C$72:$C$78),"")</f>
        <v>120</v>
      </c>
      <c r="XEZ6" s="39">
        <f>IFERROR(LOOKUP(INDEX(KITS!$O$48:T$68,MATCH(G6,KITS!$O$50:$O$68,0)+2,MATCH(I6,KITS!$P$49:$T$49,0)+1),KITS!$A$72:$A$78,KITS!$B$72:$B$78),"")</f>
        <v>1000</v>
      </c>
      <c r="XFA6" s="39">
        <f>IFERROR(LOOKUP(INDEX(KITS!$O$48:T$68,MATCH(G6,KITS!$O$50:$O$68,0)+2,MATCH(I6,KITS!$P$49:$T$49,0)+1),KITS!$A$72:$A$78,KITS!$D$72:$D$78),"")</f>
        <v>1000</v>
      </c>
      <c r="XFB6" s="39">
        <f>IFERROR(LOOKUP(INDEX(KITS!$O$48:T$68,MATCH(G6,KITS!$O$50:$O$68,0)+2,MATCH(I6,KITS!$P$49:$T$49,0)+1),KITS!$A$72:$A$78,KITS!$C$72:$C$78),"")</f>
        <v>120</v>
      </c>
      <c r="XFC6" s="39">
        <f>IFERROR(INDEX(KITS!$A$25:$F$45,MATCH(G6,KITS!$A$27:$A$45,0)+2,MATCH(I6,KITS!$B$26:$F$26,0)+1),"")</f>
        <v>22.536643761925443</v>
      </c>
      <c r="XFD6" s="39">
        <f>IFERROR($E$6,"")</f>
        <v>50</v>
      </c>
    </row>
    <row r="7" spans="1:16384" x14ac:dyDescent="0.55000000000000004">
      <c r="A7" s="32">
        <v>4</v>
      </c>
      <c r="B7" t="s">
        <v>0</v>
      </c>
      <c r="C7" t="s">
        <v>6</v>
      </c>
      <c r="D7" t="s">
        <v>93</v>
      </c>
      <c r="E7" s="32">
        <v>1</v>
      </c>
      <c r="F7" s="32" t="s">
        <v>502</v>
      </c>
      <c r="G7" t="s">
        <v>527</v>
      </c>
      <c r="H7" s="32" t="s">
        <v>529</v>
      </c>
      <c r="I7">
        <v>24</v>
      </c>
      <c r="J7" s="32" t="s">
        <v>503</v>
      </c>
      <c r="K7">
        <v>1500</v>
      </c>
      <c r="XEV7" s="39">
        <f>IFERROR($E$7*$XEW$7,"")</f>
        <v>20.165874266894662</v>
      </c>
      <c r="XEW7" s="39">
        <f>IFERROR(INDEX(KITS!$O$25:$T$45,MATCH(I7,KITS!$O$27:$O$45,0)+2,MATCH(K7,KITS!$P$26:$T$26,0)+1),"")</f>
        <v>20.165874266894662</v>
      </c>
      <c r="XEX7" s="39">
        <f>1</f>
        <v>1</v>
      </c>
      <c r="XEY7" s="39">
        <f>IFERROR(LOOKUP(INDEX(KITS!$V$48:AA$68,MATCH(I7,KITS!$V$50:$V$68,0)+2,MATCH(K7,KITS!$W$49:$AA$49,0)+1),KITS!$A$72:$A$78,KITS!$C$72:$C$78),"")</f>
        <v>120</v>
      </c>
      <c r="XEZ7" s="39">
        <f>IFERROR(LOOKUP(INDEX(KITS!$V$48:AA$68,MATCH(I7,KITS!$V$50:$V$68,0)+2,MATCH(K7,KITS!$W$49:$AA$49,0)+1),KITS!$A$72:$A$78,KITS!$B$72:$B$78),"")</f>
        <v>1200</v>
      </c>
      <c r="XFA7" s="39">
        <f>IFERROR(LOOKUP(INDEX(KITS!$V$48:AA$68,MATCH(I7,KITS!$V$50:$V$68,0)+2,MATCH(K7,KITS!$W$49:$AA$49,0)+1),KITS!$A$72:$A$78,KITS!$D$72:$D$78),"")</f>
        <v>1200</v>
      </c>
      <c r="XFB7" s="39">
        <f>IFERROR(LOOKUP(INDEX(KITS!$V$48:AA$68,MATCH(I7,KITS!$V$50:$V$68,0)+2,MATCH(K7,KITS!$W$49:$AA$49,0)+1),KITS!$A$72:$A$78,KITS!$C$72:$C$78),"")</f>
        <v>120</v>
      </c>
      <c r="XFC7" s="39">
        <f>IFERROR(INDEX(KITS!$O$25:$T$45,MATCH(I7,KITS!$O$27:$O$45,0)+2,MATCH(K7,KITS!$P$26:$T$26,0)+1),"")</f>
        <v>20.165874266894662</v>
      </c>
      <c r="XFD7" s="39">
        <f>IFERROR($E$7,"")</f>
        <v>1</v>
      </c>
    </row>
    <row r="8" spans="1:16384" x14ac:dyDescent="0.55000000000000004">
      <c r="A8" s="32">
        <v>5</v>
      </c>
      <c r="B8" t="s">
        <v>0</v>
      </c>
      <c r="C8" t="s">
        <v>6</v>
      </c>
      <c r="D8" t="s">
        <v>94</v>
      </c>
      <c r="E8" s="32">
        <v>1</v>
      </c>
      <c r="F8" s="32" t="s">
        <v>502</v>
      </c>
      <c r="G8" t="s">
        <v>528</v>
      </c>
      <c r="H8" s="32" t="s">
        <v>529</v>
      </c>
      <c r="I8">
        <v>24</v>
      </c>
      <c r="J8" s="32" t="s">
        <v>503</v>
      </c>
      <c r="K8">
        <v>1500</v>
      </c>
      <c r="XEV8" s="39">
        <f>IFERROR($E$8*$XEW$8,"")</f>
        <v>18.169200136879979</v>
      </c>
      <c r="XEW8" s="39">
        <f>IFERROR(INDEX(KITS!$H$25:$M$45,MATCH(I8,KITS!$H$27:$H$45,0)+2,MATCH(K8,KITS!$I$26:$M$26,0)+1),"")</f>
        <v>18.169200136879979</v>
      </c>
      <c r="XEX8" s="39">
        <f>1</f>
        <v>1</v>
      </c>
      <c r="XEY8" s="39">
        <f>IFERROR(LOOKUP(INDEX(KITS!$O$48:T$68,MATCH(I8,KITS!$O$50:$O$68,0)+2,MATCH(K8,KITS!$P$49:$T$49,0)+1),KITS!$A$72:$A$78,KITS!$C$72:$C$78),"")</f>
        <v>120</v>
      </c>
      <c r="XEZ8" s="39">
        <f>IFERROR(LOOKUP(INDEX(KITS!$O$48:T$68,MATCH(I8,KITS!$O$50:$O$68,0)+2,MATCH(K8,KITS!$P$49:$T$49,0)+1),KITS!$A$72:$A$78,KITS!$B$72:$B$78),"")</f>
        <v>1000</v>
      </c>
      <c r="XFA8" s="39">
        <f>IFERROR(LOOKUP(INDEX(KITS!$O$48:T$68,MATCH(I8,KITS!$O$50:$O$68,0)+2,MATCH(K8,KITS!$P$49:$T$49,0)+1),KITS!$A$72:$A$78,KITS!$D$72:$D$78),"")</f>
        <v>1000</v>
      </c>
      <c r="XFB8" s="39">
        <f>IFERROR(LOOKUP(INDEX(KITS!$O$48:T$68,MATCH(I8,KITS!$O$50:$O$68,0)+2,MATCH(K8,KITS!$P$49:$T$49,0)+1),KITS!$A$72:$A$78,KITS!$C$72:$C$78),"")</f>
        <v>120</v>
      </c>
      <c r="XFC8" s="39">
        <f>IFERROR(INDEX(KITS!$H$25:$M$45,MATCH(I8,KITS!$H$27:$H$45,0)+2,MATCH(K8,KITS!$I$26:$M$26,0)+1),"")</f>
        <v>18.169200136879979</v>
      </c>
      <c r="XFD8" s="39">
        <f>IFERROR($E$8,"")</f>
        <v>1</v>
      </c>
    </row>
  </sheetData>
  <mergeCells count="1">
    <mergeCell ref="F2:S2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botonNuevoItem">
                <anchor moveWithCells="1" siz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1</xdr:col>
                    <xdr:colOff>1684020</xdr:colOff>
                    <xdr:row>0</xdr:row>
                    <xdr:rowOff>529590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Hoja2.borrarItem">
                <anchor moveWithCells="1" sizeWithCells="1">
                  <from>
                    <xdr:col>2</xdr:col>
                    <xdr:colOff>57150</xdr:colOff>
                    <xdr:row>0</xdr:row>
                    <xdr:rowOff>0</xdr:rowOff>
                  </from>
                  <to>
                    <xdr:col>2</xdr:col>
                    <xdr:colOff>1710690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Hoja2.borrarTodo">
                <anchor moveWithCells="1" sizeWithCells="1">
                  <from>
                    <xdr:col>3</xdr:col>
                    <xdr:colOff>57150</xdr:colOff>
                    <xdr:row>0</xdr:row>
                    <xdr:rowOff>0</xdr:rowOff>
                  </from>
                  <to>
                    <xdr:col>3</xdr:col>
                    <xdr:colOff>1794510</xdr:colOff>
                    <xdr:row>0</xdr:row>
                    <xdr:rowOff>529590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>
          <x14:formula1>
            <xm:f>inputs!$A$2:$A$4</xm:f>
          </x14:formula1>
          <xm:sqref>B3 B4 B5 B6 B7 B8</xm:sqref>
        </x14:dataValidation>
        <x14:dataValidation type="list" allowBlank="1" showInputMessage="1" showErrorMessage="1">
          <x14:formula1>
            <xm:f>inputs!$C$2:$C$10</xm:f>
          </x14:formula1>
          <xm:sqref>C4</xm:sqref>
        </x14:dataValidation>
        <x14:dataValidation type="list" allowBlank="1" showInputMessage="1" showErrorMessage="1">
          <x14:formula1>
            <xm:f>inputs!$S$2:$S$3</xm:f>
          </x14:formula1>
          <xm:sqref>D4</xm:sqref>
        </x14:dataValidation>
        <x14:dataValidation type="list" allowBlank="1" showInputMessage="1" showErrorMessage="1">
          <x14:formula1>
            <xm:f>inputs!$AL$2:$AL$33</xm:f>
          </x14:formula1>
          <xm:sqref>G4</xm:sqref>
        </x14:dataValidation>
        <x14:dataValidation type="list" allowBlank="1" showInputMessage="1" showErrorMessage="1">
          <x14:formula1>
            <xm:f>inputs!$AH$2:$AH$20</xm:f>
          </x14:formula1>
          <xm:sqref>O4</xm:sqref>
        </x14:dataValidation>
        <x14:dataValidation type="list" allowBlank="1" showInputMessage="1" showErrorMessage="1">
          <x14:formula1>
            <xm:f>inputs!$AG$2:$AG$5</xm:f>
          </x14:formula1>
          <xm:sqref>M4</xm:sqref>
        </x14:dataValidation>
        <x14:dataValidation type="list" allowBlank="1" showInputMessage="1" showErrorMessage="1">
          <x14:formula1>
            <xm:f>inputs!$AF$2:$AF$3</xm:f>
          </x14:formula1>
          <xm:sqref>K4</xm:sqref>
        </x14:dataValidation>
        <x14:dataValidation type="list" allowBlank="1" showInputMessage="1" showErrorMessage="1">
          <x14:formula1>
            <xm:f>inputs!$AC$2:$AE$2</xm:f>
          </x14:formula1>
          <xm:sqref>I4</xm:sqref>
        </x14:dataValidation>
        <x14:dataValidation type="list" allowBlank="1" showInputMessage="1" showErrorMessage="1">
          <x14:formula1>
            <xm:f>inputs!$C$2:$C$10</xm:f>
          </x14:formula1>
          <xm:sqref>C5</xm:sqref>
        </x14:dataValidation>
        <x14:dataValidation type="list" allowBlank="1" showInputMessage="1" showErrorMessage="1">
          <x14:formula1>
            <xm:f>inputs!$AV$2:$AV$4</xm:f>
          </x14:formula1>
          <xm:sqref>D5</xm:sqref>
        </x14:dataValidation>
        <x14:dataValidation type="list" allowBlank="1" showInputMessage="1" showErrorMessage="1">
          <x14:formula1>
            <xm:f>inputs!$AZ$2:$AZ$24</xm:f>
          </x14:formula1>
          <xm:sqref>G5</xm:sqref>
        </x14:dataValidation>
        <x14:dataValidation type="list" allowBlank="1" showInputMessage="1" showErrorMessage="1">
          <x14:formula1>
            <xm:f>ESPÁRRAGOS!$AE$3:$AE$74</xm:f>
          </x14:formula1>
          <xm:sqref>I5</xm:sqref>
        </x14:dataValidation>
        <x14:dataValidation type="list" allowBlank="1" showInputMessage="1" showErrorMessage="1">
          <x14:formula1>
            <xm:f>inputs!$C$2:$C$10</xm:f>
          </x14:formula1>
          <xm:sqref>C6</xm:sqref>
        </x14:dataValidation>
        <x14:dataValidation type="list" allowBlank="1" showInputMessage="1" showErrorMessage="1">
          <x14:formula1>
            <xm:f>inputs!$P$2:$P$5</xm:f>
          </x14:formula1>
          <xm:sqref>D6</xm:sqref>
        </x14:dataValidation>
        <x14:dataValidation type="list" allowBlank="1" showInputMessage="1" showErrorMessage="1">
          <x14:formula1>
            <xm:f>inputs!$P$27:$P$31</xm:f>
          </x14:formula1>
          <xm:sqref>I6</xm:sqref>
        </x14:dataValidation>
        <x14:dataValidation type="list" allowBlank="1" showInputMessage="1" showErrorMessage="1">
          <x14:formula1>
            <xm:f>inputs!$P$8:$P$26</xm:f>
          </x14:formula1>
          <xm:sqref>G6</xm:sqref>
        </x14:dataValidation>
        <x14:dataValidation type="list" allowBlank="1" showInputMessage="1" showErrorMessage="1">
          <x14:formula1>
            <xm:f>inputs!$C$2:$C$10</xm:f>
          </x14:formula1>
          <xm:sqref>C7</xm:sqref>
        </x14:dataValidation>
        <x14:dataValidation type="list" allowBlank="1" showInputMessage="1" showErrorMessage="1">
          <x14:formula1>
            <xm:f>inputs!$P$2:$P$5</xm:f>
          </x14:formula1>
          <xm:sqref>D7</xm:sqref>
        </x14:dataValidation>
        <x14:dataValidation type="list" allowBlank="1" showInputMessage="1" showErrorMessage="1">
          <x14:formula1>
            <xm:f>inputs!$P$27:$P$31</xm:f>
          </x14:formula1>
          <xm:sqref>K7</xm:sqref>
        </x14:dataValidation>
        <x14:dataValidation type="list" allowBlank="1" showInputMessage="1" showErrorMessage="1">
          <x14:formula1>
            <xm:f>inputs!$P$8:$P$26</xm:f>
          </x14:formula1>
          <xm:sqref>I7</xm:sqref>
        </x14:dataValidation>
        <x14:dataValidation type="list" allowBlank="1" showInputMessage="1" showErrorMessage="1">
          <x14:formula1>
            <xm:f>inputs!$P$6:$P$7</xm:f>
          </x14:formula1>
          <xm:sqref>G7</xm:sqref>
        </x14:dataValidation>
        <x14:dataValidation type="list" allowBlank="1" showInputMessage="1" showErrorMessage="1">
          <x14:formula1>
            <xm:f>inputs!$C$2:$C$10</xm:f>
          </x14:formula1>
          <xm:sqref>C8</xm:sqref>
        </x14:dataValidation>
        <x14:dataValidation type="list" allowBlank="1" showInputMessage="1" showErrorMessage="1">
          <x14:formula1>
            <xm:f>inputs!$P$2:$P$5</xm:f>
          </x14:formula1>
          <xm:sqref>D8</xm:sqref>
        </x14:dataValidation>
        <x14:dataValidation type="list" allowBlank="1" showInputMessage="1" showErrorMessage="1">
          <x14:formula1>
            <xm:f>inputs!$P$27:$P$31</xm:f>
          </x14:formula1>
          <xm:sqref>K8</xm:sqref>
        </x14:dataValidation>
        <x14:dataValidation type="list" allowBlank="1" showInputMessage="1" showErrorMessage="1">
          <x14:formula1>
            <xm:f>inputs!$P$8:$P$26</xm:f>
          </x14:formula1>
          <xm:sqref>I8</xm:sqref>
        </x14:dataValidation>
        <x14:dataValidation type="list" allowBlank="1" showInputMessage="1" showErrorMessage="1">
          <x14:formula1>
            <xm:f>inputs!$P$6:$P$7</xm:f>
          </x14:formula1>
          <xm:sqref>G8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14"/>
  <sheetViews>
    <sheetView workbookViewId="0">
      <selection activeCell="C25" sqref="C25"/>
    </sheetView>
  </sheetViews>
  <sheetFormatPr baseColWidth="10" defaultRowHeight="14.4" x14ac:dyDescent="0.55000000000000004"/>
  <cols>
    <col min="1" max="1" width="12.578125" bestFit="1" customWidth="1"/>
    <col min="2" max="2" width="24.68359375" bestFit="1" customWidth="1"/>
    <col min="3" max="3" width="35.578125" customWidth="1"/>
    <col min="4" max="4" width="38.734375" bestFit="1" customWidth="1"/>
  </cols>
  <sheetData>
    <row r="1" spans="1:4" s="18" customFormat="1" x14ac:dyDescent="0.55000000000000004">
      <c r="A1" s="19" t="s">
        <v>397</v>
      </c>
      <c r="B1" s="19" t="s">
        <v>398</v>
      </c>
      <c r="C1" s="19" t="s">
        <v>399</v>
      </c>
      <c r="D1" s="19" t="s">
        <v>400</v>
      </c>
    </row>
    <row r="2" spans="1:4" x14ac:dyDescent="0.55000000000000004">
      <c r="A2" s="20" t="s">
        <v>401</v>
      </c>
      <c r="B2" s="21" t="s">
        <v>402</v>
      </c>
      <c r="C2" s="22">
        <v>36</v>
      </c>
      <c r="D2" s="21" t="s">
        <v>403</v>
      </c>
    </row>
    <row r="4" spans="1:4" x14ac:dyDescent="0.55000000000000004">
      <c r="A4" s="24" t="s">
        <v>404</v>
      </c>
      <c r="B4" s="25" t="s">
        <v>405</v>
      </c>
      <c r="C4" s="26">
        <v>1</v>
      </c>
      <c r="D4" s="25" t="s">
        <v>406</v>
      </c>
    </row>
    <row r="6" spans="1:4" x14ac:dyDescent="0.55000000000000004">
      <c r="A6" s="24" t="s">
        <v>407</v>
      </c>
      <c r="B6" s="25" t="s">
        <v>408</v>
      </c>
      <c r="C6" s="26" t="s">
        <v>409</v>
      </c>
      <c r="D6" s="25"/>
    </row>
    <row r="8" spans="1:4" x14ac:dyDescent="0.55000000000000004">
      <c r="A8" s="24" t="s">
        <v>410</v>
      </c>
      <c r="B8" s="25" t="s">
        <v>411</v>
      </c>
      <c r="C8" s="26" t="s">
        <v>412</v>
      </c>
      <c r="D8" s="25"/>
    </row>
    <row r="9" spans="1:4" x14ac:dyDescent="0.55000000000000004">
      <c r="A9" s="21"/>
      <c r="B9" s="21" t="s">
        <v>413</v>
      </c>
      <c r="C9" s="22" t="s">
        <v>414</v>
      </c>
      <c r="D9" s="21"/>
    </row>
    <row r="10" spans="1:4" x14ac:dyDescent="0.55000000000000004">
      <c r="A10" s="21"/>
      <c r="B10" s="21" t="s">
        <v>415</v>
      </c>
      <c r="C10" s="22" t="s">
        <v>416</v>
      </c>
      <c r="D10" s="21"/>
    </row>
    <row r="12" spans="1:4" x14ac:dyDescent="0.55000000000000004">
      <c r="A12" s="24" t="s">
        <v>417</v>
      </c>
      <c r="B12" s="25" t="s">
        <v>418</v>
      </c>
      <c r="C12" s="26" t="s">
        <v>419</v>
      </c>
      <c r="D12" s="25"/>
    </row>
    <row r="13" spans="1:4" x14ac:dyDescent="0.55000000000000004">
      <c r="A13" s="21"/>
      <c r="B13" s="21" t="s">
        <v>420</v>
      </c>
      <c r="C13" s="22" t="s">
        <v>414</v>
      </c>
      <c r="D13" s="21" t="s">
        <v>421</v>
      </c>
    </row>
    <row r="14" spans="1:4" x14ac:dyDescent="0.55000000000000004">
      <c r="A14" s="21"/>
      <c r="B14" s="21" t="s">
        <v>422</v>
      </c>
      <c r="C14" s="22">
        <v>60</v>
      </c>
      <c r="D14" s="21" t="s">
        <v>423</v>
      </c>
    </row>
  </sheetData>
  <dataValidations count="7">
    <dataValidation type="whole" allowBlank="1" showInputMessage="1" showErrorMessage="1" error="Please enter an integer from 1 to 100" sqref="C2">
      <formula1>1</formula1>
      <formula2>100</formula2>
    </dataValidation>
    <dataValidation type="whole" allowBlank="1" showInputMessage="1" showErrorMessage="1" error="Please enter an integer from 1 to 10" sqref="C4">
      <formula1>1</formula1>
      <formula2>10</formula2>
    </dataValidation>
    <dataValidation type="list" allowBlank="1" showInputMessage="1" showErrorMessage="1" sqref="C6">
      <formula1>"Standard, Lengthwise, Diagonal, Blockage free"</formula1>
    </dataValidation>
    <dataValidation type="list" allowBlank="1" showInputMessage="1" showErrorMessage="1" sqref="C8 C9 C13">
      <formula1>"Yes, No"</formula1>
    </dataValidation>
    <dataValidation type="list" allowBlank="1" showInputMessage="1" showErrorMessage="1" sqref="C10">
      <formula1>"One second intervals, Message box between every two items"</formula1>
    </dataValidation>
    <dataValidation type="list" allowBlank="1" showInputMessage="1" showErrorMessage="1" sqref="C12">
      <formula1>"Volume, Weight, Max {width; height; length}"</formula1>
    </dataValidation>
    <dataValidation type="decimal" operator="greaterThanOrEqual" allowBlank="1" showInputMessage="1" showErrorMessage="1" error="Please enter a value greater than or equal to 10 seconds." sqref="C14">
      <formula1>10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V78"/>
  <sheetViews>
    <sheetView topLeftCell="A18" workbookViewId="0">
      <selection activeCell="T26" sqref="T26"/>
    </sheetView>
  </sheetViews>
  <sheetFormatPr baseColWidth="10" defaultRowHeight="14.4" x14ac:dyDescent="0.55000000000000004"/>
  <cols>
    <col min="1" max="1" width="6.83984375" style="63" bestFit="1" customWidth="1"/>
    <col min="2" max="2" width="5" style="63" bestFit="1" customWidth="1"/>
    <col min="3" max="3" width="4.578125" style="63" bestFit="1" customWidth="1"/>
    <col min="4" max="4" width="5" style="63" bestFit="1" customWidth="1"/>
    <col min="5" max="6" width="5.578125" style="63" bestFit="1" customWidth="1"/>
    <col min="7" max="7" width="2.578125" style="63" customWidth="1"/>
    <col min="8" max="8" width="5" style="63" bestFit="1" customWidth="1"/>
    <col min="9" max="9" width="4.578125" style="63" bestFit="1" customWidth="1"/>
    <col min="10" max="10" width="6.578125" style="63" bestFit="1" customWidth="1"/>
    <col min="11" max="11" width="4.578125" style="63" bestFit="1" customWidth="1"/>
    <col min="12" max="12" width="5" style="63" bestFit="1" customWidth="1"/>
    <col min="13" max="13" width="5.578125" style="63" bestFit="1" customWidth="1"/>
    <col min="14" max="14" width="3.68359375" style="63" customWidth="1"/>
    <col min="15" max="15" width="5" style="63" customWidth="1"/>
    <col min="16" max="20" width="6.83984375" style="63" bestFit="1" customWidth="1"/>
    <col min="21" max="21" width="3" style="63" customWidth="1"/>
    <col min="22" max="22" width="5" style="63" bestFit="1" customWidth="1"/>
    <col min="23" max="27" width="6.83984375" style="63" bestFit="1" customWidth="1"/>
    <col min="28" max="28" width="3.41796875" style="63" customWidth="1"/>
    <col min="29" max="29" width="5" style="63" bestFit="1" customWidth="1"/>
    <col min="30" max="33" width="4.578125" style="63" bestFit="1" customWidth="1"/>
    <col min="34" max="34" width="5.578125" style="63" bestFit="1" customWidth="1"/>
    <col min="35" max="35" width="3.41796875" style="63" customWidth="1"/>
    <col min="36" max="36" width="5" style="63" bestFit="1" customWidth="1"/>
    <col min="37" max="40" width="4.578125" style="63" bestFit="1" customWidth="1"/>
    <col min="41" max="41" width="5" style="63" bestFit="1" customWidth="1"/>
    <col min="42" max="42" width="2.41796875" style="63" customWidth="1"/>
    <col min="43" max="43" width="5" style="63" bestFit="1" customWidth="1"/>
    <col min="44" max="47" width="4.578125" style="63" bestFit="1" customWidth="1"/>
    <col min="48" max="48" width="5" style="63" bestFit="1" customWidth="1"/>
  </cols>
  <sheetData>
    <row r="1" spans="1:48" x14ac:dyDescent="0.55000000000000004">
      <c r="A1" s="93" t="s">
        <v>506</v>
      </c>
      <c r="B1" s="93"/>
      <c r="C1" s="93"/>
      <c r="D1" s="93"/>
      <c r="E1" s="93"/>
      <c r="F1" s="93"/>
      <c r="H1" s="93" t="s">
        <v>507</v>
      </c>
      <c r="I1" s="93"/>
      <c r="J1" s="93"/>
      <c r="K1" s="93"/>
      <c r="L1" s="93"/>
      <c r="M1" s="93"/>
      <c r="O1" s="93" t="s">
        <v>508</v>
      </c>
      <c r="P1" s="93"/>
      <c r="Q1" s="93"/>
      <c r="R1" s="93"/>
      <c r="S1" s="93"/>
      <c r="T1" s="93"/>
      <c r="V1" s="93" t="s">
        <v>509</v>
      </c>
      <c r="W1" s="93"/>
      <c r="X1" s="93"/>
      <c r="Y1" s="93"/>
      <c r="Z1" s="93"/>
      <c r="AA1" s="93"/>
      <c r="AC1" s="93" t="s">
        <v>510</v>
      </c>
      <c r="AD1" s="93"/>
      <c r="AE1" s="93"/>
      <c r="AF1" s="93"/>
      <c r="AG1" s="93"/>
      <c r="AH1" s="93"/>
      <c r="AJ1" s="93" t="s">
        <v>511</v>
      </c>
      <c r="AK1" s="93"/>
      <c r="AL1" s="93"/>
      <c r="AM1" s="93"/>
      <c r="AN1" s="93"/>
      <c r="AO1" s="93"/>
      <c r="AQ1" s="93" t="s">
        <v>512</v>
      </c>
      <c r="AR1" s="93"/>
      <c r="AS1" s="93"/>
      <c r="AT1" s="93"/>
      <c r="AU1" s="93"/>
      <c r="AV1" s="93"/>
    </row>
    <row r="2" spans="1:48" x14ac:dyDescent="0.55000000000000004">
      <c r="A2" s="76" t="s">
        <v>108</v>
      </c>
      <c r="B2" s="94" t="s">
        <v>381</v>
      </c>
      <c r="C2" s="94"/>
      <c r="D2" s="94"/>
      <c r="E2" s="94"/>
      <c r="F2" s="94"/>
      <c r="H2" s="76" t="s">
        <v>108</v>
      </c>
      <c r="I2" s="94" t="s">
        <v>381</v>
      </c>
      <c r="J2" s="94"/>
      <c r="K2" s="94"/>
      <c r="L2" s="94"/>
      <c r="M2" s="94"/>
      <c r="O2" s="76" t="s">
        <v>108</v>
      </c>
      <c r="P2" s="94" t="s">
        <v>381</v>
      </c>
      <c r="Q2" s="94"/>
      <c r="R2" s="94"/>
      <c r="S2" s="94"/>
      <c r="T2" s="94"/>
      <c r="V2" s="76" t="s">
        <v>108</v>
      </c>
      <c r="W2" s="94" t="s">
        <v>381</v>
      </c>
      <c r="X2" s="94"/>
      <c r="Y2" s="94"/>
      <c r="Z2" s="94"/>
      <c r="AA2" s="94"/>
      <c r="AC2" s="76" t="s">
        <v>108</v>
      </c>
      <c r="AD2" s="94" t="s">
        <v>381</v>
      </c>
      <c r="AE2" s="94"/>
      <c r="AF2" s="94"/>
      <c r="AG2" s="94"/>
      <c r="AH2" s="94"/>
      <c r="AJ2" s="76" t="s">
        <v>108</v>
      </c>
      <c r="AK2" s="94" t="s">
        <v>381</v>
      </c>
      <c r="AL2" s="94"/>
      <c r="AM2" s="94"/>
      <c r="AN2" s="94"/>
      <c r="AO2" s="94"/>
      <c r="AQ2" s="76" t="s">
        <v>108</v>
      </c>
      <c r="AR2" s="94" t="s">
        <v>381</v>
      </c>
      <c r="AS2" s="94"/>
      <c r="AT2" s="94"/>
      <c r="AU2" s="94"/>
      <c r="AV2" s="94"/>
    </row>
    <row r="3" spans="1:48" x14ac:dyDescent="0.55000000000000004">
      <c r="A3" s="77"/>
      <c r="B3" s="49">
        <v>150</v>
      </c>
      <c r="C3" s="49">
        <v>300</v>
      </c>
      <c r="D3" s="49">
        <v>600</v>
      </c>
      <c r="E3" s="49">
        <v>900</v>
      </c>
      <c r="F3" s="49">
        <v>1500</v>
      </c>
      <c r="H3" s="77"/>
      <c r="I3" s="49">
        <v>150</v>
      </c>
      <c r="J3" s="49">
        <v>300</v>
      </c>
      <c r="K3" s="49">
        <v>600</v>
      </c>
      <c r="L3" s="49">
        <v>900</v>
      </c>
      <c r="M3" s="49">
        <v>1500</v>
      </c>
      <c r="O3" s="77"/>
      <c r="P3" s="49">
        <v>150</v>
      </c>
      <c r="Q3" s="49">
        <v>300</v>
      </c>
      <c r="R3" s="49">
        <v>600</v>
      </c>
      <c r="S3" s="49">
        <v>900</v>
      </c>
      <c r="T3" s="49">
        <v>1500</v>
      </c>
      <c r="V3" s="77"/>
      <c r="W3" s="49">
        <v>150</v>
      </c>
      <c r="X3" s="49">
        <v>300</v>
      </c>
      <c r="Y3" s="49">
        <v>600</v>
      </c>
      <c r="Z3" s="49">
        <v>900</v>
      </c>
      <c r="AA3" s="49">
        <v>1500</v>
      </c>
      <c r="AC3" s="77"/>
      <c r="AD3" s="49">
        <v>150</v>
      </c>
      <c r="AE3" s="49">
        <v>300</v>
      </c>
      <c r="AF3" s="49">
        <v>600</v>
      </c>
      <c r="AG3" s="49">
        <v>900</v>
      </c>
      <c r="AH3" s="49">
        <v>1500</v>
      </c>
      <c r="AJ3" s="77"/>
      <c r="AK3" s="49">
        <v>150</v>
      </c>
      <c r="AL3" s="49">
        <v>300</v>
      </c>
      <c r="AM3" s="49">
        <v>600</v>
      </c>
      <c r="AN3" s="49">
        <v>900</v>
      </c>
      <c r="AO3" s="49">
        <v>1500</v>
      </c>
      <c r="AQ3" s="77"/>
      <c r="AR3" s="49">
        <v>150</v>
      </c>
      <c r="AS3" s="49">
        <v>300</v>
      </c>
      <c r="AT3" s="49">
        <v>600</v>
      </c>
      <c r="AU3" s="49">
        <v>900</v>
      </c>
      <c r="AV3" s="49">
        <v>1500</v>
      </c>
    </row>
    <row r="4" spans="1:48" x14ac:dyDescent="0.55000000000000004">
      <c r="A4" s="49">
        <v>24</v>
      </c>
      <c r="B4" s="95">
        <v>2.2665495827910123</v>
      </c>
      <c r="C4" s="95">
        <v>3.4577289255716894</v>
      </c>
      <c r="D4" s="95">
        <v>3.8048734277709482</v>
      </c>
      <c r="E4" s="95">
        <v>4.8887278511344219</v>
      </c>
      <c r="F4" s="58">
        <v>6.4328492214056689</v>
      </c>
      <c r="H4" s="49">
        <v>24</v>
      </c>
      <c r="I4" s="95">
        <v>0.75750472898541721</v>
      </c>
      <c r="J4" s="95">
        <v>1.1556094040726435</v>
      </c>
      <c r="K4" s="95">
        <v>1.2716287508602906</v>
      </c>
      <c r="L4" s="95">
        <v>1.6338643081422934</v>
      </c>
      <c r="M4" s="58">
        <v>2.149925923996105</v>
      </c>
      <c r="O4" s="49">
        <v>24</v>
      </c>
      <c r="P4" s="95">
        <v>1.3645979022952794</v>
      </c>
      <c r="Q4" s="95">
        <v>2.0983143799529196</v>
      </c>
      <c r="R4" s="95">
        <v>2.2170467931269418</v>
      </c>
      <c r="S4" s="95">
        <v>3.0188155863981554</v>
      </c>
      <c r="T4" s="58">
        <v>4.146600054010789</v>
      </c>
      <c r="V4" s="49">
        <v>24</v>
      </c>
      <c r="W4" s="95">
        <v>0.27678197826733558</v>
      </c>
      <c r="X4" s="95">
        <v>0.39694586151510564</v>
      </c>
      <c r="Y4" s="95">
        <v>0.47795522100798438</v>
      </c>
      <c r="Z4" s="95">
        <v>0.65182530925288473</v>
      </c>
      <c r="AA4" s="58">
        <v>2.5429438014144194</v>
      </c>
      <c r="AC4" s="49">
        <v>24</v>
      </c>
      <c r="AD4" s="95">
        <v>1.1557119837226513</v>
      </c>
      <c r="AE4" s="95">
        <v>1.6574601132412656</v>
      </c>
      <c r="AF4" s="95">
        <v>1.9957172792088707</v>
      </c>
      <c r="AG4" s="95">
        <v>2.721717381720822</v>
      </c>
      <c r="AH4" s="58">
        <v>10.618143000586805</v>
      </c>
      <c r="AJ4" s="49">
        <v>24</v>
      </c>
      <c r="AK4" s="95">
        <v>0.32135705016537741</v>
      </c>
      <c r="AL4" s="95">
        <v>0.65329997963032016</v>
      </c>
      <c r="AM4" s="95">
        <v>1.2079244415039772</v>
      </c>
      <c r="AN4" s="95">
        <v>1.7958188097476973</v>
      </c>
      <c r="AO4" s="58">
        <v>2.8581874108826502</v>
      </c>
      <c r="AQ4" s="49">
        <v>24</v>
      </c>
      <c r="AR4" s="95">
        <v>0.34963766134250651</v>
      </c>
      <c r="AS4" s="95">
        <v>0.69402405972538606</v>
      </c>
      <c r="AT4" s="95">
        <v>1.2758425619256826</v>
      </c>
      <c r="AU4" s="95">
        <v>1.8712833879940363</v>
      </c>
      <c r="AV4" s="58">
        <v>2.9427077385185503</v>
      </c>
    </row>
    <row r="5" spans="1:48" x14ac:dyDescent="0.55000000000000004">
      <c r="A5" s="49">
        <v>20</v>
      </c>
      <c r="B5" s="95">
        <v>1.7511354440878322</v>
      </c>
      <c r="C5" s="95">
        <v>2.5889485502102825</v>
      </c>
      <c r="D5" s="95">
        <v>3.1207270632131525</v>
      </c>
      <c r="E5" s="95">
        <v>3.4283170899474738</v>
      </c>
      <c r="F5" s="58">
        <v>4.5889533726568503</v>
      </c>
      <c r="H5" s="49">
        <v>20</v>
      </c>
      <c r="I5" s="95">
        <v>0.58524789841882807</v>
      </c>
      <c r="J5" s="95">
        <v>0.86525385757027851</v>
      </c>
      <c r="K5" s="95">
        <v>1.0429798342843957</v>
      </c>
      <c r="L5" s="95">
        <v>1.145779659008761</v>
      </c>
      <c r="M5" s="58">
        <v>1.533676521914263</v>
      </c>
      <c r="O5" s="49">
        <v>20</v>
      </c>
      <c r="P5" s="95">
        <v>1.0818436519846011</v>
      </c>
      <c r="Q5" s="95">
        <v>1.5577366737969542</v>
      </c>
      <c r="R5" s="95">
        <v>1.7708310204161004</v>
      </c>
      <c r="S5" s="95">
        <v>2.0331421744393361</v>
      </c>
      <c r="T5" s="58">
        <v>2.9550913294246746</v>
      </c>
      <c r="V5" s="49">
        <v>20</v>
      </c>
      <c r="W5" s="95">
        <v>0.21096187367937155</v>
      </c>
      <c r="X5" s="95">
        <v>0.3321383739208027</v>
      </c>
      <c r="Y5" s="95">
        <v>0.40932229143762866</v>
      </c>
      <c r="Z5" s="95">
        <v>0.36004159774612771</v>
      </c>
      <c r="AA5" s="58">
        <v>1.8213604325982227</v>
      </c>
      <c r="AC5" s="49">
        <v>20</v>
      </c>
      <c r="AD5" s="95">
        <v>0.88087803637397166</v>
      </c>
      <c r="AE5" s="95">
        <v>1.3868543804671813</v>
      </c>
      <c r="AF5" s="95">
        <v>1.7091382913752047</v>
      </c>
      <c r="AG5" s="95">
        <v>1.5033651820782463</v>
      </c>
      <c r="AH5" s="58">
        <v>7.6051486148383232</v>
      </c>
      <c r="AJ5" s="49">
        <v>20</v>
      </c>
      <c r="AK5" s="95">
        <v>0.26370181469453019</v>
      </c>
      <c r="AL5" s="95">
        <v>0.49904859555093894</v>
      </c>
      <c r="AM5" s="95">
        <v>0.92891090853686165</v>
      </c>
      <c r="AN5" s="95">
        <v>1.1342013535248614</v>
      </c>
      <c r="AO5" s="58">
        <v>2.1595193771113355</v>
      </c>
      <c r="AQ5" s="49">
        <v>20</v>
      </c>
      <c r="AR5" s="95">
        <v>0.2891543647539464</v>
      </c>
      <c r="AS5" s="95">
        <v>0.53298532896349393</v>
      </c>
      <c r="AT5" s="95">
        <v>0.98777327956900629</v>
      </c>
      <c r="AU5" s="95">
        <v>1.1945730161219328</v>
      </c>
      <c r="AV5" s="58">
        <v>2.2319653722278212</v>
      </c>
    </row>
    <row r="6" spans="1:48" x14ac:dyDescent="0.55000000000000004">
      <c r="A6" s="49">
        <v>18</v>
      </c>
      <c r="B6" s="95">
        <v>1.4903882090347031</v>
      </c>
      <c r="C6" s="95">
        <v>2.2518436649789049</v>
      </c>
      <c r="D6" s="95">
        <v>2.5198024558822012</v>
      </c>
      <c r="E6" s="95">
        <v>2.9632424391395857</v>
      </c>
      <c r="F6" s="58">
        <v>4.2133868562245764</v>
      </c>
      <c r="H6" s="49">
        <v>18</v>
      </c>
      <c r="I6" s="95">
        <v>0.49810342775633498</v>
      </c>
      <c r="J6" s="95">
        <v>0.75258985645347609</v>
      </c>
      <c r="K6" s="95">
        <v>0.84214450499220928</v>
      </c>
      <c r="L6" s="95">
        <v>0.99034681518612466</v>
      </c>
      <c r="M6" s="58">
        <v>1.4081582387908451</v>
      </c>
      <c r="O6" s="49">
        <v>18</v>
      </c>
      <c r="P6" s="95">
        <v>0.91473339161780054</v>
      </c>
      <c r="Q6" s="95">
        <v>1.3260146515742077</v>
      </c>
      <c r="R6" s="95">
        <v>1.516738647988811</v>
      </c>
      <c r="S6" s="95">
        <v>1.7469367285165132</v>
      </c>
      <c r="T6" s="58">
        <v>2.6249618751062962</v>
      </c>
      <c r="V6" s="49">
        <v>18</v>
      </c>
      <c r="W6" s="95">
        <v>0.16876949894349724</v>
      </c>
      <c r="X6" s="95">
        <v>0.3321383739208027</v>
      </c>
      <c r="Y6" s="95">
        <v>0.34110190953135722</v>
      </c>
      <c r="Z6" s="95">
        <v>0.39829601750665361</v>
      </c>
      <c r="AA6" s="58">
        <v>0.57621657372619828</v>
      </c>
      <c r="AC6" s="49">
        <v>18</v>
      </c>
      <c r="AD6" s="95">
        <v>0.70470242909917735</v>
      </c>
      <c r="AE6" s="95">
        <v>1.3868543804671813</v>
      </c>
      <c r="AF6" s="95">
        <v>1.4242819094793371</v>
      </c>
      <c r="AG6" s="95">
        <v>1.663097732674059</v>
      </c>
      <c r="AH6" s="58">
        <v>2.4060106934843919</v>
      </c>
      <c r="AJ6" s="49">
        <v>18</v>
      </c>
      <c r="AK6" s="95">
        <v>0.19735103551332583</v>
      </c>
      <c r="AL6" s="95">
        <v>0.47636456848044173</v>
      </c>
      <c r="AM6" s="95">
        <v>0.72494369846130724</v>
      </c>
      <c r="AN6" s="95">
        <v>1.0066037012533144</v>
      </c>
      <c r="AO6" s="58">
        <v>1.8145406934232142</v>
      </c>
      <c r="AQ6" s="49">
        <v>18</v>
      </c>
      <c r="AR6" s="95">
        <v>0.21771307556085881</v>
      </c>
      <c r="AS6" s="95">
        <v>0.51030130189299672</v>
      </c>
      <c r="AT6" s="95">
        <v>0.7739956743214278</v>
      </c>
      <c r="AU6" s="95">
        <v>1.0632021349380689</v>
      </c>
      <c r="AV6" s="58">
        <v>1.8809495222799926</v>
      </c>
    </row>
    <row r="7" spans="1:48" x14ac:dyDescent="0.55000000000000004">
      <c r="A7" s="49">
        <v>16</v>
      </c>
      <c r="B7" s="95">
        <v>1.5606655278098682</v>
      </c>
      <c r="C7" s="95">
        <v>1.9339695953479716</v>
      </c>
      <c r="D7" s="95">
        <v>2.3253732540394392</v>
      </c>
      <c r="E7" s="95">
        <v>2.4768159268929661</v>
      </c>
      <c r="F7" s="58">
        <v>3.6081817770340145</v>
      </c>
      <c r="H7" s="49">
        <v>16</v>
      </c>
      <c r="I7" s="95">
        <v>0.52159084745224549</v>
      </c>
      <c r="J7" s="95">
        <v>0.64635299633998</v>
      </c>
      <c r="K7" s="95">
        <v>0.77716421911318101</v>
      </c>
      <c r="L7" s="95">
        <v>0.82777795451422809</v>
      </c>
      <c r="M7" s="58">
        <v>1.2058923307455784</v>
      </c>
      <c r="O7" s="49">
        <v>16</v>
      </c>
      <c r="P7" s="95">
        <v>0.89504319481731209</v>
      </c>
      <c r="Q7" s="95">
        <v>1.1629384158760081</v>
      </c>
      <c r="R7" s="95">
        <v>1.3366191072387612</v>
      </c>
      <c r="S7" s="95">
        <v>1.4414271343019298</v>
      </c>
      <c r="T7" s="58">
        <v>2.1539492687198503</v>
      </c>
      <c r="V7" s="49">
        <v>16</v>
      </c>
      <c r="W7" s="95">
        <v>0.1386160151322591</v>
      </c>
      <c r="X7" s="95">
        <v>0.27678197826733558</v>
      </c>
      <c r="Y7" s="95">
        <v>0.33078821792925472</v>
      </c>
      <c r="Z7" s="95">
        <v>0.34110190953135722</v>
      </c>
      <c r="AA7" s="58">
        <v>0.52146024740230779</v>
      </c>
      <c r="AC7" s="49">
        <v>16</v>
      </c>
      <c r="AD7" s="95">
        <v>0.57879559510012446</v>
      </c>
      <c r="AE7" s="95">
        <v>1.1557119837226513</v>
      </c>
      <c r="AF7" s="95">
        <v>1.3812167610343882</v>
      </c>
      <c r="AG7" s="95">
        <v>1.4242819094793371</v>
      </c>
      <c r="AH7" s="58">
        <v>2.1773739053766574</v>
      </c>
      <c r="AJ7" s="49">
        <v>16</v>
      </c>
      <c r="AK7" s="95">
        <v>0.16332499490758001</v>
      </c>
      <c r="AL7" s="95">
        <v>0.37806711784162039</v>
      </c>
      <c r="AM7" s="95">
        <v>0.62381074443867368</v>
      </c>
      <c r="AN7" s="95">
        <v>0.77409242378071796</v>
      </c>
      <c r="AO7" s="58">
        <v>1.4971457866528168</v>
      </c>
      <c r="AQ7" s="49">
        <v>16</v>
      </c>
      <c r="AR7" s="95">
        <v>0.18142458606094264</v>
      </c>
      <c r="AS7" s="95">
        <v>0.4063477290187496</v>
      </c>
      <c r="AT7" s="95">
        <v>0.66908949138647722</v>
      </c>
      <c r="AU7" s="95">
        <v>0.82314439964083852</v>
      </c>
      <c r="AV7" s="58">
        <v>1.5575174492498882</v>
      </c>
    </row>
    <row r="8" spans="1:48" x14ac:dyDescent="0.55000000000000004">
      <c r="A8" s="49">
        <v>14</v>
      </c>
      <c r="B8" s="95">
        <v>1.2224294181314046</v>
      </c>
      <c r="C8" s="95">
        <v>1.6781714672508405</v>
      </c>
      <c r="D8" s="95">
        <v>1.7647101374528555</v>
      </c>
      <c r="E8" s="95">
        <v>2.1681330558946028</v>
      </c>
      <c r="F8" s="58">
        <v>3.0437007779385179</v>
      </c>
      <c r="H8" s="49">
        <v>14</v>
      </c>
      <c r="I8" s="95">
        <v>0.40854877921760097</v>
      </c>
      <c r="J8" s="95">
        <v>0.56086256931804412</v>
      </c>
      <c r="K8" s="95">
        <v>0.58978470383292803</v>
      </c>
      <c r="L8" s="95">
        <v>0.72461288973319615</v>
      </c>
      <c r="M8" s="58">
        <v>1.0172368389426099</v>
      </c>
      <c r="O8" s="49">
        <v>14</v>
      </c>
      <c r="P8" s="95">
        <v>0.76490429581542352</v>
      </c>
      <c r="Q8" s="95">
        <v>0.97885300286265964</v>
      </c>
      <c r="R8" s="95">
        <v>1.0488410108682824</v>
      </c>
      <c r="S8" s="95">
        <v>1.2294932303493729</v>
      </c>
      <c r="T8" s="58">
        <v>1.8330636949019385</v>
      </c>
      <c r="V8" s="49">
        <v>14</v>
      </c>
      <c r="W8" s="95">
        <v>0.10396201134919433</v>
      </c>
      <c r="X8" s="95">
        <v>0.21096187367937155</v>
      </c>
      <c r="Y8" s="95">
        <v>0.26403050501382674</v>
      </c>
      <c r="Z8" s="95">
        <v>0.33078821792925472</v>
      </c>
      <c r="AA8" s="58">
        <v>0.38344430159962584</v>
      </c>
      <c r="AC8" s="49">
        <v>14</v>
      </c>
      <c r="AD8" s="95">
        <v>0.43409669632509335</v>
      </c>
      <c r="AE8" s="95">
        <v>0.88087803637397166</v>
      </c>
      <c r="AF8" s="95">
        <v>1.1024678001907129</v>
      </c>
      <c r="AG8" s="95">
        <v>1.3812167610343882</v>
      </c>
      <c r="AH8" s="58">
        <v>1.6010839189133312</v>
      </c>
      <c r="AJ8" s="49">
        <v>14</v>
      </c>
      <c r="AK8" s="95">
        <v>0.11795694076658557</v>
      </c>
      <c r="AL8" s="95">
        <v>0.32324738575458545</v>
      </c>
      <c r="AM8" s="95">
        <v>0.5302391327728726</v>
      </c>
      <c r="AN8" s="95">
        <v>0.69277018673298518</v>
      </c>
      <c r="AO8" s="58">
        <v>1.2385478780491486</v>
      </c>
      <c r="AQ8" s="49">
        <v>14</v>
      </c>
      <c r="AR8" s="95">
        <v>0.13153163413160754</v>
      </c>
      <c r="AS8" s="95">
        <v>0.34869993581400166</v>
      </c>
      <c r="AT8" s="95">
        <v>0.57174465080835923</v>
      </c>
      <c r="AU8" s="95">
        <v>0.73804893368078872</v>
      </c>
      <c r="AV8" s="58">
        <v>1.2928823743865128</v>
      </c>
    </row>
    <row r="9" spans="1:48" x14ac:dyDescent="0.55000000000000004">
      <c r="A9" s="49">
        <v>12</v>
      </c>
      <c r="B9" s="95">
        <v>1.0135771045883066</v>
      </c>
      <c r="C9" s="95">
        <v>1.1606362827093777</v>
      </c>
      <c r="D9" s="95">
        <v>1.588380526763455</v>
      </c>
      <c r="E9" s="95">
        <v>2.1380142049909594</v>
      </c>
      <c r="F9" s="58">
        <v>2.4537672287836068</v>
      </c>
      <c r="H9" s="49">
        <v>12</v>
      </c>
      <c r="I9" s="95">
        <v>0.33874813758609196</v>
      </c>
      <c r="J9" s="95">
        <v>0.38789686290550252</v>
      </c>
      <c r="K9" s="95">
        <v>0.53085349183936514</v>
      </c>
      <c r="L9" s="95">
        <v>0.71454685272066265</v>
      </c>
      <c r="M9" s="58">
        <v>0.82007483698820527</v>
      </c>
      <c r="O9" s="49">
        <v>12</v>
      </c>
      <c r="P9" s="95">
        <v>0.63091683107210617</v>
      </c>
      <c r="Q9" s="95">
        <v>0.75649971540928673</v>
      </c>
      <c r="R9" s="95">
        <v>0.9202712345627172</v>
      </c>
      <c r="S9" s="95">
        <v>1.1727828110700069</v>
      </c>
      <c r="T9" s="58">
        <v>1.4819328571376342</v>
      </c>
      <c r="V9" s="49">
        <v>12</v>
      </c>
      <c r="W9" s="95">
        <v>8.6297470459774914E-2</v>
      </c>
      <c r="X9" s="95">
        <v>0.16876949894349724</v>
      </c>
      <c r="Y9" s="95">
        <v>0.27678197826733558</v>
      </c>
      <c r="Z9" s="95">
        <v>0.26403050501382674</v>
      </c>
      <c r="AA9" s="58">
        <v>0.28803327819690216</v>
      </c>
      <c r="AC9" s="49">
        <v>12</v>
      </c>
      <c r="AD9" s="95">
        <v>0.3603378420793793</v>
      </c>
      <c r="AE9" s="95">
        <v>0.70470242909917735</v>
      </c>
      <c r="AF9" s="95">
        <v>1.1557119837226513</v>
      </c>
      <c r="AG9" s="95">
        <v>1.1024678001907129</v>
      </c>
      <c r="AH9" s="58">
        <v>1.202692145662597</v>
      </c>
      <c r="AJ9" s="49">
        <v>12</v>
      </c>
      <c r="AK9" s="95">
        <v>9.527291369608834E-2</v>
      </c>
      <c r="AL9" s="95">
        <v>0.24498749236137002</v>
      </c>
      <c r="AM9" s="95">
        <v>0.46313221935598509</v>
      </c>
      <c r="AN9" s="95">
        <v>0.59178845955748849</v>
      </c>
      <c r="AO9" s="58">
        <v>1.0293104123508823</v>
      </c>
      <c r="AQ9" s="49">
        <v>12</v>
      </c>
      <c r="AR9" s="95">
        <v>0.10715077039048256</v>
      </c>
      <c r="AS9" s="95">
        <v>0.26534953240890297</v>
      </c>
      <c r="AT9" s="95">
        <v>0.50086450847915476</v>
      </c>
      <c r="AU9" s="95">
        <v>0.63329397759297512</v>
      </c>
      <c r="AV9" s="58">
        <v>1.0776077424285393</v>
      </c>
    </row>
    <row r="10" spans="1:48" x14ac:dyDescent="0.55000000000000004">
      <c r="A10" s="49">
        <v>10</v>
      </c>
      <c r="B10" s="95">
        <v>0.68020164011407802</v>
      </c>
      <c r="C10" s="95">
        <v>0.89697252478677214</v>
      </c>
      <c r="D10" s="95">
        <v>1.3008196523961764</v>
      </c>
      <c r="E10" s="95">
        <v>1.706787825843864</v>
      </c>
      <c r="F10" s="58">
        <v>1.706787825843864</v>
      </c>
      <c r="H10" s="49">
        <v>10</v>
      </c>
      <c r="I10" s="95">
        <v>0.22733054814338921</v>
      </c>
      <c r="J10" s="95">
        <v>0.29977765959978964</v>
      </c>
      <c r="K10" s="95">
        <v>0.43474762066924838</v>
      </c>
      <c r="L10" s="95">
        <v>0.57042645758465982</v>
      </c>
      <c r="M10" s="58">
        <v>0.57042645758465982</v>
      </c>
      <c r="O10" s="49">
        <v>10</v>
      </c>
      <c r="P10" s="95">
        <v>0.4289968673833473</v>
      </c>
      <c r="Q10" s="95">
        <v>0.5634378532746589</v>
      </c>
      <c r="R10" s="95">
        <v>0.82420266848392887</v>
      </c>
      <c r="S10" s="95">
        <v>0.97991751852123232</v>
      </c>
      <c r="T10" s="58">
        <v>1.1555225572152719</v>
      </c>
      <c r="V10" s="49">
        <v>10</v>
      </c>
      <c r="W10" s="95">
        <v>8.6297470459774914E-2</v>
      </c>
      <c r="X10" s="95">
        <v>0.1386160151322591</v>
      </c>
      <c r="Y10" s="95">
        <v>0.22142558261386847</v>
      </c>
      <c r="Z10" s="95">
        <v>0.21122440401106141</v>
      </c>
      <c r="AA10" s="58">
        <v>0.23897761050399219</v>
      </c>
      <c r="AC10" s="49">
        <v>10</v>
      </c>
      <c r="AD10" s="95">
        <v>0.3603378420793793</v>
      </c>
      <c r="AE10" s="95">
        <v>0.57879559510012446</v>
      </c>
      <c r="AF10" s="95">
        <v>0.92456958697812097</v>
      </c>
      <c r="AG10" s="95">
        <v>0.88197424015257031</v>
      </c>
      <c r="AH10" s="58">
        <v>0.99785863960443533</v>
      </c>
      <c r="AJ10" s="49">
        <v>10</v>
      </c>
      <c r="AK10" s="95">
        <v>9.1303208958751325E-2</v>
      </c>
      <c r="AL10" s="95">
        <v>0.20566851210584153</v>
      </c>
      <c r="AM10" s="95">
        <v>0.35538309077112323</v>
      </c>
      <c r="AN10" s="95">
        <v>0.42419130621829809</v>
      </c>
      <c r="AO10" s="58">
        <v>0.63798826135773445</v>
      </c>
      <c r="AQ10" s="49">
        <v>10</v>
      </c>
      <c r="AR10" s="95">
        <v>0.10318106565314555</v>
      </c>
      <c r="AS10" s="95">
        <v>0.22376810325920415</v>
      </c>
      <c r="AT10" s="95">
        <v>0.38556892206965898</v>
      </c>
      <c r="AU10" s="95">
        <v>0.45739572064668738</v>
      </c>
      <c r="AV10" s="58">
        <v>0.67194732156858716</v>
      </c>
    </row>
    <row r="11" spans="1:48" x14ac:dyDescent="0.55000000000000004">
      <c r="A11" s="49">
        <v>8</v>
      </c>
      <c r="B11" s="95">
        <v>0.49384068396995423</v>
      </c>
      <c r="C11" s="95">
        <v>0.72673151701361238</v>
      </c>
      <c r="D11" s="95">
        <v>0.83759151282795863</v>
      </c>
      <c r="E11" s="95">
        <v>1.1973208870010406</v>
      </c>
      <c r="F11" s="58">
        <v>1.1345379301878142</v>
      </c>
      <c r="H11" s="49">
        <v>8</v>
      </c>
      <c r="I11" s="95">
        <v>0.16504675490574786</v>
      </c>
      <c r="J11" s="95">
        <v>0.24288132279139152</v>
      </c>
      <c r="K11" s="95">
        <v>0.27993190033987037</v>
      </c>
      <c r="L11" s="95">
        <v>0.40015724381350559</v>
      </c>
      <c r="M11" s="58">
        <v>0.37917451877329578</v>
      </c>
      <c r="O11" s="49">
        <v>8</v>
      </c>
      <c r="P11" s="95">
        <v>0.34681687014554313</v>
      </c>
      <c r="Q11" s="95">
        <v>0.44800677215396606</v>
      </c>
      <c r="R11" s="95">
        <v>0.57760848018473832</v>
      </c>
      <c r="S11" s="95">
        <v>0.76127390326790312</v>
      </c>
      <c r="T11" s="58">
        <v>0.79894086453085678</v>
      </c>
      <c r="V11" s="49">
        <v>8</v>
      </c>
      <c r="W11" s="95">
        <v>4.6805407706996566E-2</v>
      </c>
      <c r="X11" s="95">
        <v>8.6297470459774914E-2</v>
      </c>
      <c r="Y11" s="95">
        <v>0.12657712420762293</v>
      </c>
      <c r="Z11" s="95">
        <v>0.15841830300829607</v>
      </c>
      <c r="AA11" s="58">
        <v>0.20466114571881433</v>
      </c>
      <c r="AC11" s="49">
        <v>8</v>
      </c>
      <c r="AD11" s="95">
        <v>0.19543747367017184</v>
      </c>
      <c r="AE11" s="95">
        <v>0.3603378420793793</v>
      </c>
      <c r="AF11" s="95">
        <v>0.52852682182438304</v>
      </c>
      <c r="AG11" s="95">
        <v>0.66148068011442773</v>
      </c>
      <c r="AH11" s="58">
        <v>0.85456914568760234</v>
      </c>
      <c r="AJ11" s="49">
        <v>8</v>
      </c>
      <c r="AK11" s="95">
        <v>4.990485955509389E-2</v>
      </c>
      <c r="AL11" s="95">
        <v>0.11909114212011042</v>
      </c>
      <c r="AM11" s="95">
        <v>0.2143640558161988</v>
      </c>
      <c r="AN11" s="95">
        <v>0.29319104988617667</v>
      </c>
      <c r="AO11" s="58">
        <v>0.47861028716042103</v>
      </c>
      <c r="AQ11" s="49">
        <v>8</v>
      </c>
      <c r="AR11" s="95">
        <v>5.6692206237604868E-2</v>
      </c>
      <c r="AS11" s="95">
        <v>0.13096899881450463</v>
      </c>
      <c r="AT11" s="95">
        <v>0.2347394919427104</v>
      </c>
      <c r="AU11" s="95">
        <v>0.3180943607074686</v>
      </c>
      <c r="AV11" s="58">
        <v>0.50804147267649336</v>
      </c>
    </row>
    <row r="12" spans="1:48" x14ac:dyDescent="0.55000000000000004">
      <c r="A12" s="49">
        <v>6</v>
      </c>
      <c r="B12" s="95">
        <v>0.22748389216638584</v>
      </c>
      <c r="C12" s="95">
        <v>0.35252959139250173</v>
      </c>
      <c r="D12" s="95">
        <v>0.42861559885812772</v>
      </c>
      <c r="E12" s="95">
        <v>0.54307541878467858</v>
      </c>
      <c r="F12" s="58">
        <v>0.50942744529677408</v>
      </c>
      <c r="H12" s="49">
        <v>6</v>
      </c>
      <c r="I12" s="95">
        <v>0.11374194608319292</v>
      </c>
      <c r="J12" s="95">
        <v>0.17626479569625086</v>
      </c>
      <c r="K12" s="95">
        <v>0.21430779942906386</v>
      </c>
      <c r="L12" s="95">
        <v>0.27153770939233929</v>
      </c>
      <c r="M12" s="58">
        <v>0.25471372264838704</v>
      </c>
      <c r="O12" s="49">
        <v>6</v>
      </c>
      <c r="P12" s="95">
        <v>0.23776192816929767</v>
      </c>
      <c r="Q12" s="95">
        <v>0.34101228307784276</v>
      </c>
      <c r="R12" s="95">
        <v>0.43362004510311503</v>
      </c>
      <c r="S12" s="95">
        <v>0.50898789733037231</v>
      </c>
      <c r="T12" s="58">
        <v>0.53853395158666306</v>
      </c>
      <c r="V12" s="49">
        <v>6</v>
      </c>
      <c r="W12" s="95">
        <v>4.6805407706996566E-2</v>
      </c>
      <c r="X12" s="95">
        <v>7.0208111560494849E-2</v>
      </c>
      <c r="Y12" s="95">
        <v>0.10396201134919433</v>
      </c>
      <c r="Z12" s="95">
        <v>0.12657712420762293</v>
      </c>
      <c r="AA12" s="58">
        <v>0.15841830300829607</v>
      </c>
      <c r="AC12" s="49">
        <v>6</v>
      </c>
      <c r="AD12" s="95">
        <v>0.19543747367017184</v>
      </c>
      <c r="AE12" s="95">
        <v>0.29315621050525775</v>
      </c>
      <c r="AF12" s="95">
        <v>0.43409669632509335</v>
      </c>
      <c r="AG12" s="95">
        <v>0.52852682182438304</v>
      </c>
      <c r="AH12" s="58">
        <v>0.66148068011442773</v>
      </c>
      <c r="AJ12" s="49">
        <v>6</v>
      </c>
      <c r="AK12" s="95">
        <v>4.5368054140994443E-2</v>
      </c>
      <c r="AL12" s="95">
        <v>9.187030963551375E-2</v>
      </c>
      <c r="AM12" s="95">
        <v>0.16786180032167947</v>
      </c>
      <c r="AN12" s="95">
        <v>0.21456821205983326</v>
      </c>
      <c r="AO12" s="58">
        <v>0.36804833921881747</v>
      </c>
      <c r="AQ12" s="49">
        <v>6</v>
      </c>
      <c r="AR12" s="95">
        <v>4.990485955509389E-2</v>
      </c>
      <c r="AS12" s="95">
        <v>9.8675517756662917E-2</v>
      </c>
      <c r="AT12" s="95">
        <v>0.1814722165639778</v>
      </c>
      <c r="AU12" s="95">
        <v>0.22987993033241894</v>
      </c>
      <c r="AV12" s="58">
        <v>0.38676266155197769</v>
      </c>
    </row>
    <row r="13" spans="1:48" x14ac:dyDescent="0.55000000000000004">
      <c r="A13" s="49">
        <v>5</v>
      </c>
      <c r="B13" s="95">
        <v>0.19761366210513726</v>
      </c>
      <c r="C13" s="95">
        <v>0.27020254873072852</v>
      </c>
      <c r="D13" s="95">
        <v>0.37757361019774865</v>
      </c>
      <c r="E13" s="95">
        <v>0.40630671115371186</v>
      </c>
      <c r="F13" s="58">
        <v>0.43579594634535807</v>
      </c>
      <c r="H13" s="49">
        <v>5</v>
      </c>
      <c r="I13" s="95">
        <v>9.8806831052568628E-2</v>
      </c>
      <c r="J13" s="95">
        <v>0.13510127436536426</v>
      </c>
      <c r="K13" s="95">
        <v>0.18878680509887433</v>
      </c>
      <c r="L13" s="95">
        <v>0.20315335557685593</v>
      </c>
      <c r="M13" s="58">
        <v>0.21789797317267903</v>
      </c>
      <c r="O13" s="49">
        <v>5</v>
      </c>
      <c r="P13" s="95">
        <v>0.2092729815589375</v>
      </c>
      <c r="Q13" s="95">
        <v>0.27197553845808409</v>
      </c>
      <c r="R13" s="95">
        <v>0.402862660625393</v>
      </c>
      <c r="S13" s="95">
        <v>0.4514973421792714</v>
      </c>
      <c r="T13" s="58">
        <v>0.51832087519928727</v>
      </c>
      <c r="V13" s="49">
        <v>5</v>
      </c>
      <c r="W13" s="95">
        <v>4.6805407706996566E-2</v>
      </c>
      <c r="X13" s="95">
        <v>4.6805407706996566E-2</v>
      </c>
      <c r="Y13" s="95">
        <v>6.9308007566129551E-2</v>
      </c>
      <c r="Z13" s="95">
        <v>0.11071279130693423</v>
      </c>
      <c r="AA13" s="58">
        <v>0.13231528717170188</v>
      </c>
      <c r="AC13" s="49">
        <v>5</v>
      </c>
      <c r="AD13" s="95">
        <v>0.19543747367017184</v>
      </c>
      <c r="AE13" s="95">
        <v>0.19543747367017184</v>
      </c>
      <c r="AF13" s="95">
        <v>0.28939779755006223</v>
      </c>
      <c r="AG13" s="95">
        <v>0.46228479348906049</v>
      </c>
      <c r="AH13" s="58">
        <v>0.55248670441375525</v>
      </c>
      <c r="AJ13" s="49">
        <v>5</v>
      </c>
      <c r="AK13" s="95">
        <v>4.3099651433944723E-2</v>
      </c>
      <c r="AL13" s="95">
        <v>5.8978470383292771E-2</v>
      </c>
      <c r="AM13" s="95">
        <v>0.10585879299565372</v>
      </c>
      <c r="AN13" s="95">
        <v>0.14744617595823198</v>
      </c>
      <c r="AO13" s="58">
        <v>0.24081363138039852</v>
      </c>
      <c r="AQ13" s="49">
        <v>5</v>
      </c>
      <c r="AR13" s="95">
        <v>4.763645684804417E-2</v>
      </c>
      <c r="AS13" s="95">
        <v>6.3515275797392218E-2</v>
      </c>
      <c r="AT13" s="95">
        <v>0.11493240382385261</v>
      </c>
      <c r="AU13" s="95">
        <v>0.15878818949348059</v>
      </c>
      <c r="AV13" s="58">
        <v>0.25442404762269688</v>
      </c>
    </row>
    <row r="14" spans="1:48" x14ac:dyDescent="0.55000000000000004">
      <c r="A14" s="49">
        <v>4</v>
      </c>
      <c r="B14" s="95">
        <v>0.17756345019696296</v>
      </c>
      <c r="C14" s="95">
        <v>0.19835714167825208</v>
      </c>
      <c r="D14" s="95">
        <v>0.24221292734788016</v>
      </c>
      <c r="E14" s="95">
        <v>0.28909324996024105</v>
      </c>
      <c r="F14" s="58">
        <v>0.30128591451063336</v>
      </c>
      <c r="H14" s="49">
        <v>4</v>
      </c>
      <c r="I14" s="95">
        <v>8.8781725098481479E-2</v>
      </c>
      <c r="J14" s="95">
        <v>9.917857083912604E-2</v>
      </c>
      <c r="K14" s="95">
        <v>0.12110646367394008</v>
      </c>
      <c r="L14" s="95">
        <v>0.14454662498012052</v>
      </c>
      <c r="M14" s="58">
        <v>0.15064295725531668</v>
      </c>
      <c r="O14" s="49">
        <v>4</v>
      </c>
      <c r="P14" s="95">
        <v>0.18536324701710713</v>
      </c>
      <c r="Q14" s="95">
        <v>0.23729087933766341</v>
      </c>
      <c r="R14" s="95">
        <v>0.28131311392562441</v>
      </c>
      <c r="S14" s="95">
        <v>0.30743385055960765</v>
      </c>
      <c r="T14" s="58">
        <v>0.35575094073276609</v>
      </c>
      <c r="V14" s="49">
        <v>4</v>
      </c>
      <c r="W14" s="95">
        <v>3.9604575752074038E-2</v>
      </c>
      <c r="X14" s="95">
        <v>4.6805407706996566E-2</v>
      </c>
      <c r="Y14" s="95">
        <v>5.7531646973183276E-2</v>
      </c>
      <c r="Z14" s="95">
        <v>8.4384749471748621E-2</v>
      </c>
      <c r="AA14" s="58">
        <v>0.11071279130693423</v>
      </c>
      <c r="AC14" s="49">
        <v>4</v>
      </c>
      <c r="AD14" s="95">
        <v>0.16537017002860702</v>
      </c>
      <c r="AE14" s="95">
        <v>0.19543747367017184</v>
      </c>
      <c r="AF14" s="95">
        <v>0.24022522805291954</v>
      </c>
      <c r="AG14" s="95">
        <v>0.35235121454958868</v>
      </c>
      <c r="AH14" s="58">
        <v>0.46228479348906049</v>
      </c>
      <c r="AJ14" s="49">
        <v>4</v>
      </c>
      <c r="AK14" s="95">
        <v>3.5916376194953942E-2</v>
      </c>
      <c r="AL14" s="95">
        <v>5.444166496919333E-2</v>
      </c>
      <c r="AM14" s="95">
        <v>8.2040564571631613E-2</v>
      </c>
      <c r="AN14" s="95">
        <v>0.11909114212011042</v>
      </c>
      <c r="AO14" s="58">
        <v>0.15470506462079109</v>
      </c>
      <c r="AQ14" s="49">
        <v>4</v>
      </c>
      <c r="AR14" s="95">
        <v>3.9697047373370146E-2</v>
      </c>
      <c r="AS14" s="95">
        <v>5.8978470383292785E-2</v>
      </c>
      <c r="AT14" s="95">
        <v>8.9979974046305658E-2</v>
      </c>
      <c r="AU14" s="95">
        <v>0.12929895430183419</v>
      </c>
      <c r="AV14" s="58">
        <v>0.1660470781560397</v>
      </c>
    </row>
    <row r="15" spans="1:48" x14ac:dyDescent="0.55000000000000004">
      <c r="A15" s="49">
        <v>3</v>
      </c>
      <c r="B15" s="95">
        <v>0.10978994093604479</v>
      </c>
      <c r="C15" s="95">
        <v>0.14305984730610732</v>
      </c>
      <c r="D15" s="95">
        <v>0.14305984730610732</v>
      </c>
      <c r="E15" s="95">
        <v>0.19863571362882557</v>
      </c>
      <c r="F15" s="58">
        <v>0.21867327087443142</v>
      </c>
      <c r="H15" s="49">
        <v>3</v>
      </c>
      <c r="I15" s="95">
        <v>5.4894970468022393E-2</v>
      </c>
      <c r="J15" s="95">
        <v>7.1529923653053662E-2</v>
      </c>
      <c r="K15" s="95">
        <v>7.1529923653053662E-2</v>
      </c>
      <c r="L15" s="95">
        <v>9.9317856814412783E-2</v>
      </c>
      <c r="M15" s="58">
        <v>0.10933663543721571</v>
      </c>
      <c r="O15" s="49">
        <v>3</v>
      </c>
      <c r="P15" s="95">
        <v>0.13396426597002511</v>
      </c>
      <c r="Q15" s="95">
        <v>0.15974851841548982</v>
      </c>
      <c r="R15" s="95">
        <v>0.15974851841548982</v>
      </c>
      <c r="S15" s="95">
        <v>0.21736607375167696</v>
      </c>
      <c r="T15" s="58">
        <v>0.26294218318053569</v>
      </c>
      <c r="V15" s="49">
        <v>3</v>
      </c>
      <c r="W15" s="95">
        <v>1.9802287876037019E-2</v>
      </c>
      <c r="X15" s="95">
        <v>4.6805407706996566E-2</v>
      </c>
      <c r="Y15" s="95">
        <v>4.6805407706996566E-2</v>
      </c>
      <c r="Z15" s="95">
        <v>5.7531646973183276E-2</v>
      </c>
      <c r="AA15" s="58">
        <v>8.4384749471748621E-2</v>
      </c>
      <c r="AC15" s="49">
        <v>3</v>
      </c>
      <c r="AD15" s="95">
        <v>8.2685085014303508E-2</v>
      </c>
      <c r="AE15" s="95">
        <v>0.19543747367017184</v>
      </c>
      <c r="AF15" s="95">
        <v>0.19543747367017184</v>
      </c>
      <c r="AG15" s="95">
        <v>0.24022522805291954</v>
      </c>
      <c r="AH15" s="58">
        <v>0.35235121454958868</v>
      </c>
      <c r="AJ15" s="49">
        <v>3</v>
      </c>
      <c r="AK15" s="95">
        <v>1.7958188097476971E-2</v>
      </c>
      <c r="AL15" s="95">
        <v>4.990485955509389E-2</v>
      </c>
      <c r="AM15" s="95">
        <v>6.1246873090342491E-2</v>
      </c>
      <c r="AN15" s="95">
        <v>8.2040564571631613E-2</v>
      </c>
      <c r="AO15" s="58">
        <v>0.12616855856610557</v>
      </c>
      <c r="AQ15" s="49">
        <v>3</v>
      </c>
      <c r="AR15" s="95">
        <v>1.9848523686685073E-2</v>
      </c>
      <c r="AS15" s="95">
        <v>5.4441664969193344E-2</v>
      </c>
      <c r="AT15" s="95">
        <v>6.8052081211491672E-2</v>
      </c>
      <c r="AU15" s="95">
        <v>8.9979974046305658E-2</v>
      </c>
      <c r="AV15" s="58">
        <v>0.1363763707478293</v>
      </c>
    </row>
    <row r="16" spans="1:48" x14ac:dyDescent="0.55000000000000004">
      <c r="A16" s="49">
        <v>2.5</v>
      </c>
      <c r="B16" s="95">
        <v>9.960731104890623E-2</v>
      </c>
      <c r="C16" s="95">
        <v>0.11435192864472944</v>
      </c>
      <c r="D16" s="95">
        <v>0.11435192864472944</v>
      </c>
      <c r="E16" s="95">
        <v>0.20896322488459487</v>
      </c>
      <c r="F16" s="58">
        <v>0.20896322488459487</v>
      </c>
      <c r="H16" s="49">
        <v>2.5</v>
      </c>
      <c r="I16" s="95">
        <v>4.9803655524453115E-2</v>
      </c>
      <c r="J16" s="95">
        <v>5.7175964322364721E-2</v>
      </c>
      <c r="K16" s="95">
        <v>5.7175964322364721E-2</v>
      </c>
      <c r="L16" s="95">
        <v>0.10448161244229744</v>
      </c>
      <c r="M16" s="58">
        <v>0.10448161244229744</v>
      </c>
      <c r="O16" s="49">
        <v>2.5</v>
      </c>
      <c r="P16" s="95">
        <v>0.12664988168203897</v>
      </c>
      <c r="Q16" s="95">
        <v>0.1322755550870304</v>
      </c>
      <c r="R16" s="95">
        <v>0.1322755550870304</v>
      </c>
      <c r="S16" s="95">
        <v>0.23233880348896443</v>
      </c>
      <c r="T16" s="58">
        <v>0.23233880348896443</v>
      </c>
      <c r="V16" s="49">
        <v>2.5</v>
      </c>
      <c r="W16" s="95">
        <v>1.9802287876037019E-2</v>
      </c>
      <c r="X16" s="95">
        <v>4.6805407706996566E-2</v>
      </c>
      <c r="Y16" s="95">
        <v>4.6805407706996566E-2</v>
      </c>
      <c r="Z16" s="95">
        <v>6.9308007566129551E-2</v>
      </c>
      <c r="AA16" s="58">
        <v>6.9308007566129551E-2</v>
      </c>
      <c r="AC16" s="49">
        <v>2.5</v>
      </c>
      <c r="AD16" s="95">
        <v>8.2685085014303508E-2</v>
      </c>
      <c r="AE16" s="95">
        <v>0.19543747367017184</v>
      </c>
      <c r="AF16" s="95">
        <v>0.19543747367017184</v>
      </c>
      <c r="AG16" s="95">
        <v>0.28939779755006223</v>
      </c>
      <c r="AH16" s="58">
        <v>0.28939779755006223</v>
      </c>
      <c r="AJ16" s="49">
        <v>2.5</v>
      </c>
      <c r="AK16" s="95">
        <v>1.7013020302872921E-2</v>
      </c>
      <c r="AL16" s="95">
        <v>4.5368054140994443E-2</v>
      </c>
      <c r="AM16" s="95">
        <v>5.6710067676243051E-2</v>
      </c>
      <c r="AN16" s="95">
        <v>9.9567756154769163E-2</v>
      </c>
      <c r="AO16" s="58">
        <v>9.9567756154769163E-2</v>
      </c>
      <c r="AQ16" s="49">
        <v>2.5</v>
      </c>
      <c r="AR16" s="95">
        <v>1.8903355892081024E-2</v>
      </c>
      <c r="AS16" s="95">
        <v>4.990485955509389E-2</v>
      </c>
      <c r="AT16" s="95">
        <v>6.3515275797392218E-2</v>
      </c>
      <c r="AU16" s="95">
        <v>0.10864136698296806</v>
      </c>
      <c r="AV16" s="58">
        <v>0.10864136698296806</v>
      </c>
    </row>
    <row r="17" spans="1:48" x14ac:dyDescent="0.55000000000000004">
      <c r="A17" s="49">
        <v>2</v>
      </c>
      <c r="B17" s="95">
        <v>7.0940580531614394E-2</v>
      </c>
      <c r="C17" s="95">
        <v>8.3416795420387865E-2</v>
      </c>
      <c r="D17" s="95">
        <v>8.3416795420387865E-2</v>
      </c>
      <c r="E17" s="95">
        <v>0.15713988339950383</v>
      </c>
      <c r="F17" s="58">
        <v>0.15713988339950383</v>
      </c>
      <c r="H17" s="49">
        <v>2</v>
      </c>
      <c r="I17" s="95">
        <v>3.5470290265807197E-2</v>
      </c>
      <c r="J17" s="95">
        <v>4.1708397710193933E-2</v>
      </c>
      <c r="K17" s="95">
        <v>4.1708397710193933E-2</v>
      </c>
      <c r="L17" s="95">
        <v>7.8569941699751913E-2</v>
      </c>
      <c r="M17" s="58">
        <v>7.8569941699751913E-2</v>
      </c>
      <c r="O17" s="49">
        <v>2</v>
      </c>
      <c r="P17" s="95">
        <v>8.5753427900616408E-2</v>
      </c>
      <c r="Q17" s="95">
        <v>0.10109921651580127</v>
      </c>
      <c r="R17" s="95">
        <v>0.10109921651580127</v>
      </c>
      <c r="S17" s="95">
        <v>0.17958612832530385</v>
      </c>
      <c r="T17" s="58">
        <v>0.17958612832530385</v>
      </c>
      <c r="V17" s="49">
        <v>2</v>
      </c>
      <c r="W17" s="95">
        <v>1.9802287876037019E-2</v>
      </c>
      <c r="X17" s="95">
        <v>3.9604575752074038E-2</v>
      </c>
      <c r="Y17" s="95">
        <v>3.9604575752074038E-2</v>
      </c>
      <c r="Z17" s="95">
        <v>5.7531646973183276E-2</v>
      </c>
      <c r="AA17" s="58">
        <v>5.7531646973183276E-2</v>
      </c>
      <c r="AC17" s="49">
        <v>2</v>
      </c>
      <c r="AD17" s="95">
        <v>8.2685085014303508E-2</v>
      </c>
      <c r="AE17" s="95">
        <v>0.16537017002860702</v>
      </c>
      <c r="AF17" s="95">
        <v>0.16537017002860702</v>
      </c>
      <c r="AG17" s="95">
        <v>0.24022522805291954</v>
      </c>
      <c r="AH17" s="58">
        <v>0.24022522805291954</v>
      </c>
      <c r="AJ17" s="49">
        <v>2</v>
      </c>
      <c r="AK17" s="95">
        <v>1.5122684713664819E-2</v>
      </c>
      <c r="AL17" s="95">
        <v>3.4026040605745843E-2</v>
      </c>
      <c r="AM17" s="95">
        <v>4.3477718551786351E-2</v>
      </c>
      <c r="AN17" s="95">
        <v>8.2040564571631613E-2</v>
      </c>
      <c r="AO17" s="58">
        <v>8.2040564571631613E-2</v>
      </c>
      <c r="AQ17" s="49">
        <v>2</v>
      </c>
      <c r="AR17" s="95">
        <v>1.7013020302872921E-2</v>
      </c>
      <c r="AS17" s="95">
        <v>3.7806711784162048E-2</v>
      </c>
      <c r="AT17" s="95">
        <v>4.9148725319410662E-2</v>
      </c>
      <c r="AU17" s="95">
        <v>8.9979974046305658E-2</v>
      </c>
      <c r="AV17" s="58">
        <v>8.9979974046305658E-2</v>
      </c>
    </row>
    <row r="18" spans="1:48" x14ac:dyDescent="0.55000000000000004">
      <c r="A18" s="49">
        <v>1.5</v>
      </c>
      <c r="B18" s="95">
        <v>5.2263998370425606E-2</v>
      </c>
      <c r="C18" s="95">
        <v>6.8086107252097419E-2</v>
      </c>
      <c r="D18" s="95">
        <v>6.8086107252097419E-2</v>
      </c>
      <c r="E18" s="95">
        <v>7.3738210663829656E-2</v>
      </c>
      <c r="F18" s="58">
        <v>7.3738210663829656E-2</v>
      </c>
      <c r="H18" s="49">
        <v>1.5</v>
      </c>
      <c r="I18" s="95">
        <v>2.6131999185212803E-2</v>
      </c>
      <c r="J18" s="95">
        <v>3.404305362604871E-2</v>
      </c>
      <c r="K18" s="95">
        <v>3.404305362604871E-2</v>
      </c>
      <c r="L18" s="95">
        <v>3.6869105331914828E-2</v>
      </c>
      <c r="M18" s="58">
        <v>3.6869105331914828E-2</v>
      </c>
      <c r="O18" s="49">
        <v>1.5</v>
      </c>
      <c r="P18" s="95">
        <v>6.1719603488945708E-2</v>
      </c>
      <c r="Q18" s="95">
        <v>9.6562347828328968E-2</v>
      </c>
      <c r="R18" s="95">
        <v>9.6562347828328968E-2</v>
      </c>
      <c r="S18" s="95">
        <v>0.12977562265541273</v>
      </c>
      <c r="T18" s="58">
        <v>0.12977562265541273</v>
      </c>
      <c r="V18" s="49">
        <v>1.5</v>
      </c>
      <c r="W18" s="95">
        <v>1.710197589294106E-2</v>
      </c>
      <c r="X18" s="95">
        <v>2.3402703853498283E-2</v>
      </c>
      <c r="Y18" s="95">
        <v>2.3402703853498283E-2</v>
      </c>
      <c r="Z18" s="95">
        <v>3.4654003783064775E-2</v>
      </c>
      <c r="AA18" s="58">
        <v>3.4654003783064775E-2</v>
      </c>
      <c r="AC18" s="49">
        <v>1.5</v>
      </c>
      <c r="AD18" s="95">
        <v>7.1409846148716663E-2</v>
      </c>
      <c r="AE18" s="95">
        <v>9.7718736835085918E-2</v>
      </c>
      <c r="AF18" s="95">
        <v>9.7718736835085918E-2</v>
      </c>
      <c r="AG18" s="95">
        <v>0.14469889877503112</v>
      </c>
      <c r="AH18" s="58">
        <v>0.14469889877503112</v>
      </c>
      <c r="AJ18" s="49">
        <v>1.5</v>
      </c>
      <c r="AK18" s="95">
        <v>1.1342013535248613E-2</v>
      </c>
      <c r="AL18" s="95">
        <v>1.9281423009922638E-2</v>
      </c>
      <c r="AM18" s="95">
        <v>2.3818228424022085E-2</v>
      </c>
      <c r="AN18" s="95">
        <v>4.0831248726895003E-2</v>
      </c>
      <c r="AO18" s="58">
        <v>4.0831248726895003E-2</v>
      </c>
      <c r="AQ18" s="49">
        <v>1.5</v>
      </c>
      <c r="AR18" s="95">
        <v>1.2854282006615095E-2</v>
      </c>
      <c r="AS18" s="95">
        <v>2.1549825716972362E-2</v>
      </c>
      <c r="AT18" s="95">
        <v>2.7220832484596672E-2</v>
      </c>
      <c r="AU18" s="95">
        <v>4.536805414099445E-2</v>
      </c>
      <c r="AV18" s="58">
        <v>4.536805414099445E-2</v>
      </c>
    </row>
    <row r="19" spans="1:48" x14ac:dyDescent="0.55000000000000004">
      <c r="A19" s="49">
        <v>1.25</v>
      </c>
      <c r="B19" s="95">
        <v>4.2125145630996168E-2</v>
      </c>
      <c r="C19" s="95">
        <v>5.1526767490634444E-2</v>
      </c>
      <c r="D19" s="95">
        <v>5.1526767490634444E-2</v>
      </c>
      <c r="E19" s="95">
        <v>6.1507739401653216E-2</v>
      </c>
      <c r="F19" s="58">
        <v>6.1507739401653216E-2</v>
      </c>
      <c r="H19" s="49">
        <v>1.25</v>
      </c>
      <c r="I19" s="95">
        <v>2.1062572815498084E-2</v>
      </c>
      <c r="J19" s="95">
        <v>2.5763383745317222E-2</v>
      </c>
      <c r="K19" s="95">
        <v>2.5763383745317222E-2</v>
      </c>
      <c r="L19" s="95">
        <v>3.0753869700826608E-2</v>
      </c>
      <c r="M19" s="58">
        <v>3.0753869700826608E-2</v>
      </c>
      <c r="O19" s="49">
        <v>1.25</v>
      </c>
      <c r="P19" s="95">
        <v>5.2547672707508132E-2</v>
      </c>
      <c r="Q19" s="95">
        <v>7.3908511745976069E-2</v>
      </c>
      <c r="R19" s="95">
        <v>7.3908511745976069E-2</v>
      </c>
      <c r="S19" s="95">
        <v>0.10318987917142373</v>
      </c>
      <c r="T19" s="58">
        <v>0.10318987917142373</v>
      </c>
      <c r="V19" s="49">
        <v>1.25</v>
      </c>
      <c r="W19" s="95">
        <v>1.710197589294106E-2</v>
      </c>
      <c r="X19" s="95">
        <v>1.9802287876037019E-2</v>
      </c>
      <c r="Y19" s="95">
        <v>1.9802287876037019E-2</v>
      </c>
      <c r="Z19" s="95">
        <v>2.8765823486591638E-2</v>
      </c>
      <c r="AA19" s="58">
        <v>2.8765823486591638E-2</v>
      </c>
      <c r="AC19" s="49">
        <v>1.25</v>
      </c>
      <c r="AD19" s="95">
        <v>7.1409846148716663E-2</v>
      </c>
      <c r="AE19" s="95">
        <v>8.2685085014303508E-2</v>
      </c>
      <c r="AF19" s="95">
        <v>8.2685085014303508E-2</v>
      </c>
      <c r="AG19" s="95">
        <v>0.12011261402645977</v>
      </c>
      <c r="AH19" s="58">
        <v>0.12011261402645977</v>
      </c>
      <c r="AJ19" s="49">
        <v>1.25</v>
      </c>
      <c r="AK19" s="95">
        <v>1.0585879299565372E-2</v>
      </c>
      <c r="AL19" s="95">
        <v>1.5122684713664819E-2</v>
      </c>
      <c r="AM19" s="95">
        <v>1.890335589208102E-2</v>
      </c>
      <c r="AN19" s="95">
        <v>3.2975014018146134E-2</v>
      </c>
      <c r="AO19" s="58">
        <v>3.2975014018146134E-2</v>
      </c>
      <c r="AQ19" s="49">
        <v>1.25</v>
      </c>
      <c r="AR19" s="95">
        <v>1.2098147770931855E-2</v>
      </c>
      <c r="AS19" s="95">
        <v>1.7013020302872921E-2</v>
      </c>
      <c r="AT19" s="95">
        <v>2.1738859275893176E-2</v>
      </c>
      <c r="AU19" s="95">
        <v>3.694471875548315E-2</v>
      </c>
      <c r="AV19" s="58">
        <v>3.694471875548315E-2</v>
      </c>
    </row>
    <row r="20" spans="1:48" x14ac:dyDescent="0.55000000000000004">
      <c r="A20" s="49">
        <v>1</v>
      </c>
      <c r="B20" s="95">
        <v>3.3285029054776268E-2</v>
      </c>
      <c r="C20" s="95">
        <v>4.1375665376586927E-2</v>
      </c>
      <c r="D20" s="95">
        <v>4.1375665376586927E-2</v>
      </c>
      <c r="E20" s="95">
        <v>5.0222435934080829E-2</v>
      </c>
      <c r="F20" s="58">
        <v>5.0222435934080829E-2</v>
      </c>
      <c r="H20" s="49">
        <v>1</v>
      </c>
      <c r="I20" s="95">
        <v>1.6642514527388134E-2</v>
      </c>
      <c r="J20" s="95">
        <v>2.0687832688293464E-2</v>
      </c>
      <c r="K20" s="95">
        <v>2.0687832688293464E-2</v>
      </c>
      <c r="L20" s="95">
        <v>2.5111217967040415E-2</v>
      </c>
      <c r="M20" s="58">
        <v>2.5111217967040415E-2</v>
      </c>
      <c r="O20" s="49">
        <v>1</v>
      </c>
      <c r="P20" s="95">
        <v>4.8974927895811135E-2</v>
      </c>
      <c r="Q20" s="95">
        <v>6.3420905519233003E-2</v>
      </c>
      <c r="R20" s="95">
        <v>6.3420905519233003E-2</v>
      </c>
      <c r="S20" s="95">
        <v>9.0358252126020985E-2</v>
      </c>
      <c r="T20" s="58">
        <v>9.0358252126020985E-2</v>
      </c>
      <c r="V20" s="49">
        <v>1</v>
      </c>
      <c r="W20" s="95">
        <v>1.710197589294106E-2</v>
      </c>
      <c r="X20" s="95">
        <v>1.9802287876037019E-2</v>
      </c>
      <c r="Y20" s="95">
        <v>1.9802287876037019E-2</v>
      </c>
      <c r="Z20" s="95">
        <v>2.8765823486591638E-2</v>
      </c>
      <c r="AA20" s="58">
        <v>2.8765823486591638E-2</v>
      </c>
      <c r="AC20" s="49">
        <v>1</v>
      </c>
      <c r="AD20" s="95">
        <v>7.1409846148716663E-2</v>
      </c>
      <c r="AE20" s="95">
        <v>8.2685085014303508E-2</v>
      </c>
      <c r="AF20" s="95">
        <v>8.2685085014303508E-2</v>
      </c>
      <c r="AG20" s="95">
        <v>0.12011261402645977</v>
      </c>
      <c r="AH20" s="58">
        <v>0.12011261402645977</v>
      </c>
      <c r="AJ20" s="49">
        <v>1</v>
      </c>
      <c r="AK20" s="95">
        <v>9.8297450638821313E-3</v>
      </c>
      <c r="AL20" s="95">
        <v>1.4177516919060766E-2</v>
      </c>
      <c r="AM20" s="95">
        <v>1.7013020302872921E-2</v>
      </c>
      <c r="AN20" s="95">
        <v>3.2975014018146134E-2</v>
      </c>
      <c r="AO20" s="58">
        <v>3.2975014018146134E-2</v>
      </c>
      <c r="AQ20" s="49">
        <v>1</v>
      </c>
      <c r="AR20" s="95">
        <v>1.1342013535248614E-2</v>
      </c>
      <c r="AS20" s="95">
        <v>1.6067852508268868E-2</v>
      </c>
      <c r="AT20" s="95">
        <v>1.9848523686685073E-2</v>
      </c>
      <c r="AU20" s="95">
        <v>3.694471875548315E-2</v>
      </c>
      <c r="AV20" s="58">
        <v>3.694471875548315E-2</v>
      </c>
    </row>
    <row r="21" spans="1:48" x14ac:dyDescent="0.55000000000000004">
      <c r="A21" s="49">
        <v>0.75</v>
      </c>
      <c r="B21" s="95">
        <v>2.5213296088857657E-2</v>
      </c>
      <c r="C21" s="95">
        <v>3.5931498879667609E-2</v>
      </c>
      <c r="D21" s="95">
        <v>3.5931498879667609E-2</v>
      </c>
      <c r="E21" s="95">
        <v>3.988230026111253E-2</v>
      </c>
      <c r="F21" s="58">
        <v>3.988230026111253E-2</v>
      </c>
      <c r="H21" s="49">
        <v>0.75</v>
      </c>
      <c r="I21" s="95">
        <v>1.2606648044428828E-2</v>
      </c>
      <c r="J21" s="95">
        <v>1.7965749439833804E-2</v>
      </c>
      <c r="K21" s="95">
        <v>1.7965749439833804E-2</v>
      </c>
      <c r="L21" s="95">
        <v>1.9941150130556265E-2</v>
      </c>
      <c r="M21" s="58">
        <v>1.9941150130556265E-2</v>
      </c>
      <c r="O21" s="49">
        <v>0.75</v>
      </c>
      <c r="P21" s="95">
        <v>4.0453275369886139E-2</v>
      </c>
      <c r="Q21" s="95">
        <v>5.3492840502112192E-2</v>
      </c>
      <c r="R21" s="95">
        <v>5.3492840502112192E-2</v>
      </c>
      <c r="S21" s="95">
        <v>6.8263957253290347E-2</v>
      </c>
      <c r="T21" s="58">
        <v>6.8263957253290347E-2</v>
      </c>
      <c r="V21" s="49">
        <v>0.75</v>
      </c>
      <c r="W21" s="95">
        <v>1.710197589294106E-2</v>
      </c>
      <c r="X21" s="95">
        <v>1.9802287876037019E-2</v>
      </c>
      <c r="Y21" s="95">
        <v>1.9802287876037019E-2</v>
      </c>
      <c r="Z21" s="95">
        <v>2.3402703853498283E-2</v>
      </c>
      <c r="AA21" s="58">
        <v>2.3402703853498283E-2</v>
      </c>
      <c r="AC21" s="49">
        <v>0.75</v>
      </c>
      <c r="AD21" s="95">
        <v>7.1409846148716663E-2</v>
      </c>
      <c r="AE21" s="95">
        <v>8.2685085014303508E-2</v>
      </c>
      <c r="AF21" s="95">
        <v>8.2685085014303508E-2</v>
      </c>
      <c r="AG21" s="95">
        <v>9.7718736835085918E-2</v>
      </c>
      <c r="AH21" s="58">
        <v>9.7718736835085918E-2</v>
      </c>
      <c r="AJ21" s="49">
        <v>0.75</v>
      </c>
      <c r="AK21" s="95">
        <v>9.0736108281988925E-3</v>
      </c>
      <c r="AL21" s="95">
        <v>1.3232349124456715E-2</v>
      </c>
      <c r="AM21" s="95">
        <v>1.6067852508268868E-2</v>
      </c>
      <c r="AN21" s="95">
        <v>2.6086631131071805E-2</v>
      </c>
      <c r="AO21" s="58">
        <v>2.6086631131071805E-2</v>
      </c>
      <c r="AQ21" s="49">
        <v>0.75</v>
      </c>
      <c r="AR21" s="95">
        <v>1.0585879299565372E-2</v>
      </c>
      <c r="AS21" s="95">
        <v>1.5122684713664819E-2</v>
      </c>
      <c r="AT21" s="95">
        <v>1.890335589208102E-2</v>
      </c>
      <c r="AU21" s="95">
        <v>2.9489235191646392E-2</v>
      </c>
      <c r="AV21" s="58">
        <v>2.9489235191646392E-2</v>
      </c>
    </row>
    <row r="22" spans="1:48" x14ac:dyDescent="0.55000000000000004">
      <c r="A22" s="49">
        <v>0.5</v>
      </c>
      <c r="B22" s="95">
        <v>1.808673091754312E-2</v>
      </c>
      <c r="C22" s="95">
        <v>2.390896453230407E-2</v>
      </c>
      <c r="D22" s="95">
        <v>2.390896453230407E-2</v>
      </c>
      <c r="E22" s="95">
        <v>3.4060066646351576E-2</v>
      </c>
      <c r="F22" s="58">
        <v>3.4060066646351576E-2</v>
      </c>
      <c r="H22" s="49">
        <v>0.5</v>
      </c>
      <c r="I22" s="95">
        <v>9.0433654587715601E-3</v>
      </c>
      <c r="J22" s="95">
        <v>1.1954482266152035E-2</v>
      </c>
      <c r="K22" s="95">
        <v>1.1954482266152035E-2</v>
      </c>
      <c r="L22" s="95">
        <v>1.7030033323175788E-2</v>
      </c>
      <c r="M22" s="58">
        <v>1.7030033323175788E-2</v>
      </c>
      <c r="O22" s="49">
        <v>0.5</v>
      </c>
      <c r="P22" s="95">
        <v>3.2491164053583384E-2</v>
      </c>
      <c r="Q22" s="95">
        <v>3.6827602568103801E-2</v>
      </c>
      <c r="R22" s="95">
        <v>3.6827602568103801E-2</v>
      </c>
      <c r="S22" s="95">
        <v>5.7489020954595953E-2</v>
      </c>
      <c r="T22" s="58">
        <v>5.7489020954595953E-2</v>
      </c>
      <c r="V22" s="49">
        <v>0.5</v>
      </c>
      <c r="W22" s="95">
        <v>1.710197589294106E-2</v>
      </c>
      <c r="X22" s="95">
        <v>1.710197589294106E-2</v>
      </c>
      <c r="Y22" s="95">
        <v>1.710197589294106E-2</v>
      </c>
      <c r="Z22" s="95">
        <v>2.3402703853498283E-2</v>
      </c>
      <c r="AA22" s="58">
        <v>2.3402703853498283E-2</v>
      </c>
      <c r="AC22" s="49">
        <v>0.5</v>
      </c>
      <c r="AD22" s="95">
        <v>7.1409846148716663E-2</v>
      </c>
      <c r="AE22" s="95">
        <v>7.1409846148716663E-2</v>
      </c>
      <c r="AF22" s="95">
        <v>7.1409846148716663E-2</v>
      </c>
      <c r="AG22" s="95">
        <v>9.7718736835085918E-2</v>
      </c>
      <c r="AH22" s="58">
        <v>9.7718736835085918E-2</v>
      </c>
      <c r="AJ22" s="49">
        <v>0.5</v>
      </c>
      <c r="AK22" s="95">
        <v>8.3174765925156501E-3</v>
      </c>
      <c r="AL22" s="95">
        <v>9.8297450638821313E-3</v>
      </c>
      <c r="AM22" s="95">
        <v>1.2098147770931855E-2</v>
      </c>
      <c r="AN22" s="95">
        <v>2.390896453230407E-2</v>
      </c>
      <c r="AO22" s="58">
        <v>2.390896453230407E-2</v>
      </c>
      <c r="AQ22" s="49">
        <v>0.5</v>
      </c>
      <c r="AR22" s="95">
        <v>9.8297450638821313E-3</v>
      </c>
      <c r="AS22" s="95">
        <v>1.1342013535248614E-2</v>
      </c>
      <c r="AT22" s="95">
        <v>1.4366550477981577E-2</v>
      </c>
      <c r="AU22" s="95">
        <v>2.7311568592878657E-2</v>
      </c>
      <c r="AV22" s="58">
        <v>2.7311568592878657E-2</v>
      </c>
    </row>
    <row r="24" spans="1:48" x14ac:dyDescent="0.55000000000000004">
      <c r="A24" s="96" t="s">
        <v>513</v>
      </c>
      <c r="B24" s="96"/>
      <c r="C24" s="96"/>
      <c r="D24" s="96"/>
      <c r="E24" s="96"/>
      <c r="F24" s="96"/>
      <c r="G24" s="97"/>
      <c r="H24" s="96" t="s">
        <v>514</v>
      </c>
      <c r="I24" s="96"/>
      <c r="J24" s="96"/>
      <c r="K24" s="96"/>
      <c r="L24" s="96"/>
      <c r="M24" s="96"/>
      <c r="N24" s="97"/>
      <c r="O24" s="96" t="s">
        <v>515</v>
      </c>
      <c r="P24" s="96"/>
      <c r="Q24" s="96"/>
      <c r="R24" s="96"/>
      <c r="S24" s="96"/>
      <c r="T24" s="96"/>
    </row>
    <row r="25" spans="1:48" x14ac:dyDescent="0.55000000000000004">
      <c r="A25" s="76" t="s">
        <v>108</v>
      </c>
      <c r="B25" s="94" t="s">
        <v>381</v>
      </c>
      <c r="C25" s="94"/>
      <c r="D25" s="94"/>
      <c r="E25" s="94"/>
      <c r="F25" s="94"/>
      <c r="H25" s="76" t="s">
        <v>108</v>
      </c>
      <c r="I25" s="94" t="s">
        <v>381</v>
      </c>
      <c r="J25" s="94"/>
      <c r="K25" s="94"/>
      <c r="L25" s="94"/>
      <c r="M25" s="94"/>
      <c r="O25" s="76" t="s">
        <v>108</v>
      </c>
      <c r="P25" s="94" t="s">
        <v>381</v>
      </c>
      <c r="Q25" s="94"/>
      <c r="R25" s="94"/>
      <c r="S25" s="94"/>
      <c r="T25" s="94"/>
    </row>
    <row r="26" spans="1:48" x14ac:dyDescent="0.55000000000000004">
      <c r="A26" s="77"/>
      <c r="B26" s="49">
        <v>150</v>
      </c>
      <c r="C26" s="49">
        <v>300</v>
      </c>
      <c r="D26" s="49">
        <v>600</v>
      </c>
      <c r="E26" s="49">
        <v>900</v>
      </c>
      <c r="F26" s="49">
        <v>1500</v>
      </c>
      <c r="H26" s="77"/>
      <c r="I26" s="49">
        <v>150</v>
      </c>
      <c r="J26" s="49">
        <v>300</v>
      </c>
      <c r="K26" s="49">
        <v>600</v>
      </c>
      <c r="L26" s="49">
        <v>900</v>
      </c>
      <c r="M26" s="49">
        <v>1500</v>
      </c>
      <c r="O26" s="77"/>
      <c r="P26" s="49">
        <v>150</v>
      </c>
      <c r="Q26" s="49">
        <v>300</v>
      </c>
      <c r="R26" s="49">
        <v>600</v>
      </c>
      <c r="S26" s="49">
        <v>900</v>
      </c>
      <c r="T26" s="49">
        <v>1500</v>
      </c>
    </row>
    <row r="27" spans="1:48" x14ac:dyDescent="0.55000000000000004">
      <c r="A27" s="49">
        <v>24</v>
      </c>
      <c r="B27" s="95">
        <f>B4+W4+AD4+AR4</f>
        <v>4.048681206123506</v>
      </c>
      <c r="C27" s="95">
        <f t="shared" ref="C27:F42" si="0">C4+X4+AE4+AS4</f>
        <v>6.2061589600534468</v>
      </c>
      <c r="D27" s="95">
        <f t="shared" si="0"/>
        <v>7.5543884899134861</v>
      </c>
      <c r="E27" s="95">
        <f t="shared" si="0"/>
        <v>10.133553930102165</v>
      </c>
      <c r="F27" s="95">
        <f t="shared" si="0"/>
        <v>22.536643761925443</v>
      </c>
      <c r="H27" s="49">
        <v>24</v>
      </c>
      <c r="I27" s="95">
        <f>I4+W4+AD4+AK4</f>
        <v>2.5113557411407816</v>
      </c>
      <c r="J27" s="95">
        <f t="shared" ref="J27:M42" si="1">J4+X4+AE4+AL4</f>
        <v>3.8633153584593347</v>
      </c>
      <c r="K27" s="95">
        <f t="shared" si="1"/>
        <v>4.9532256925811229</v>
      </c>
      <c r="L27" s="95">
        <f t="shared" si="1"/>
        <v>6.8032258088636972</v>
      </c>
      <c r="M27" s="95">
        <f t="shared" si="1"/>
        <v>18.169200136879979</v>
      </c>
      <c r="O27" s="49">
        <v>24</v>
      </c>
      <c r="P27" s="95">
        <f>P4+W4+AD4+AK4</f>
        <v>3.118448914450644</v>
      </c>
      <c r="Q27" s="95">
        <f t="shared" ref="Q27:T42" si="2">Q4+X4+AE4+AL4</f>
        <v>4.8060203343396113</v>
      </c>
      <c r="R27" s="95">
        <f t="shared" si="2"/>
        <v>5.8986437348477736</v>
      </c>
      <c r="S27" s="95">
        <f t="shared" si="2"/>
        <v>8.1881770871195592</v>
      </c>
      <c r="T27" s="95">
        <f t="shared" si="2"/>
        <v>20.165874266894662</v>
      </c>
    </row>
    <row r="28" spans="1:48" x14ac:dyDescent="0.55000000000000004">
      <c r="A28" s="49">
        <v>20</v>
      </c>
      <c r="B28" s="95">
        <f t="shared" ref="B28:F43" si="3">B5+W5+AD5+AR5</f>
        <v>3.1321297188951216</v>
      </c>
      <c r="C28" s="95">
        <f t="shared" si="0"/>
        <v>4.84092663356176</v>
      </c>
      <c r="D28" s="95">
        <f t="shared" si="0"/>
        <v>6.2269609255949918</v>
      </c>
      <c r="E28" s="95">
        <f t="shared" si="0"/>
        <v>6.4862968858937808</v>
      </c>
      <c r="F28" s="95">
        <f t="shared" si="0"/>
        <v>16.247427792321218</v>
      </c>
      <c r="H28" s="49">
        <v>20</v>
      </c>
      <c r="I28" s="95">
        <f t="shared" ref="I28:M43" si="4">I5+W5+AD5+AK5</f>
        <v>1.9407896231667014</v>
      </c>
      <c r="J28" s="95">
        <f t="shared" si="1"/>
        <v>3.0832952075092015</v>
      </c>
      <c r="K28" s="95">
        <f t="shared" si="1"/>
        <v>4.0903513256340904</v>
      </c>
      <c r="L28" s="95">
        <f t="shared" si="1"/>
        <v>4.1433877923579967</v>
      </c>
      <c r="M28" s="95">
        <f t="shared" si="1"/>
        <v>13.119704946462145</v>
      </c>
      <c r="O28" s="49">
        <v>20</v>
      </c>
      <c r="P28" s="95">
        <f t="shared" ref="P28:T43" si="5">P5+W5+AD5+AK5</f>
        <v>2.4373853767324745</v>
      </c>
      <c r="Q28" s="95">
        <f t="shared" si="2"/>
        <v>3.7757780237358771</v>
      </c>
      <c r="R28" s="95">
        <f t="shared" si="2"/>
        <v>4.8182025117657954</v>
      </c>
      <c r="S28" s="95">
        <f t="shared" si="2"/>
        <v>5.0307503077885709</v>
      </c>
      <c r="T28" s="95">
        <f t="shared" si="2"/>
        <v>14.541119753972556</v>
      </c>
    </row>
    <row r="29" spans="1:48" x14ac:dyDescent="0.55000000000000004">
      <c r="A29" s="49">
        <v>18</v>
      </c>
      <c r="B29" s="95">
        <f t="shared" si="3"/>
        <v>2.5815732126382365</v>
      </c>
      <c r="C29" s="95">
        <f t="shared" si="0"/>
        <v>4.481137721259886</v>
      </c>
      <c r="D29" s="95">
        <f t="shared" si="0"/>
        <v>5.0591819492143237</v>
      </c>
      <c r="E29" s="95">
        <f t="shared" si="0"/>
        <v>6.0878383242583674</v>
      </c>
      <c r="F29" s="95">
        <f t="shared" si="0"/>
        <v>9.0765636457151597</v>
      </c>
      <c r="H29" s="49">
        <v>18</v>
      </c>
      <c r="I29" s="95">
        <f t="shared" si="4"/>
        <v>1.5689263913123355</v>
      </c>
      <c r="J29" s="95">
        <f t="shared" si="1"/>
        <v>2.9479471793219019</v>
      </c>
      <c r="K29" s="95">
        <f t="shared" si="1"/>
        <v>3.332472022464211</v>
      </c>
      <c r="L29" s="95">
        <f t="shared" si="1"/>
        <v>4.0583442666201517</v>
      </c>
      <c r="M29" s="95">
        <f t="shared" si="1"/>
        <v>6.2049261994246487</v>
      </c>
      <c r="O29" s="49">
        <v>18</v>
      </c>
      <c r="P29" s="95">
        <f t="shared" si="5"/>
        <v>1.9855563551738009</v>
      </c>
      <c r="Q29" s="95">
        <f t="shared" si="2"/>
        <v>3.5213719744426335</v>
      </c>
      <c r="R29" s="95">
        <f t="shared" si="2"/>
        <v>4.0070661654608122</v>
      </c>
      <c r="S29" s="95">
        <f t="shared" si="2"/>
        <v>4.8149341799505398</v>
      </c>
      <c r="T29" s="95">
        <f t="shared" si="2"/>
        <v>7.4217298357401003</v>
      </c>
    </row>
    <row r="30" spans="1:48" x14ac:dyDescent="0.55000000000000004">
      <c r="A30" s="49">
        <v>16</v>
      </c>
      <c r="B30" s="95">
        <f t="shared" si="3"/>
        <v>2.4595017241031947</v>
      </c>
      <c r="C30" s="95">
        <f t="shared" si="0"/>
        <v>3.772811286356708</v>
      </c>
      <c r="D30" s="95">
        <f t="shared" si="0"/>
        <v>4.706467724389559</v>
      </c>
      <c r="E30" s="95">
        <f t="shared" si="0"/>
        <v>5.0653441455444987</v>
      </c>
      <c r="F30" s="95">
        <f t="shared" si="0"/>
        <v>7.864533379062868</v>
      </c>
      <c r="H30" s="49">
        <v>16</v>
      </c>
      <c r="I30" s="95">
        <f t="shared" si="4"/>
        <v>1.4023274525922091</v>
      </c>
      <c r="J30" s="95">
        <f t="shared" si="1"/>
        <v>2.4569140761715875</v>
      </c>
      <c r="K30" s="95">
        <f t="shared" si="1"/>
        <v>3.1129799425154974</v>
      </c>
      <c r="L30" s="95">
        <f t="shared" si="1"/>
        <v>3.3672541973056407</v>
      </c>
      <c r="M30" s="95">
        <f t="shared" si="1"/>
        <v>5.4018722701773605</v>
      </c>
      <c r="O30" s="49">
        <v>16</v>
      </c>
      <c r="P30" s="95">
        <f t="shared" si="5"/>
        <v>1.7757797999572755</v>
      </c>
      <c r="Q30" s="95">
        <f t="shared" si="2"/>
        <v>2.9734994957076157</v>
      </c>
      <c r="R30" s="95">
        <f t="shared" si="2"/>
        <v>3.6724348306410777</v>
      </c>
      <c r="S30" s="95">
        <f t="shared" si="2"/>
        <v>3.9809033770933424</v>
      </c>
      <c r="T30" s="95">
        <f t="shared" si="2"/>
        <v>6.3499292081516323</v>
      </c>
    </row>
    <row r="31" spans="1:48" x14ac:dyDescent="0.55000000000000004">
      <c r="A31" s="49">
        <v>14</v>
      </c>
      <c r="B31" s="95">
        <f t="shared" si="3"/>
        <v>1.8920197599372999</v>
      </c>
      <c r="C31" s="95">
        <f t="shared" si="0"/>
        <v>3.1187113131181854</v>
      </c>
      <c r="D31" s="95">
        <f t="shared" si="0"/>
        <v>3.7029530934657542</v>
      </c>
      <c r="E31" s="95">
        <f t="shared" si="0"/>
        <v>4.6181869685390344</v>
      </c>
      <c r="F31" s="95">
        <f t="shared" si="0"/>
        <v>6.3211113728379873</v>
      </c>
      <c r="H31" s="49">
        <v>14</v>
      </c>
      <c r="I31" s="95">
        <f t="shared" si="4"/>
        <v>1.064564427658474</v>
      </c>
      <c r="J31" s="95">
        <f t="shared" si="1"/>
        <v>1.9759498651259728</v>
      </c>
      <c r="K31" s="95">
        <f t="shared" si="1"/>
        <v>2.4865221418103403</v>
      </c>
      <c r="L31" s="95">
        <f t="shared" si="1"/>
        <v>3.1293880554298239</v>
      </c>
      <c r="M31" s="95">
        <f t="shared" si="1"/>
        <v>4.2403129375047151</v>
      </c>
      <c r="O31" s="49">
        <v>14</v>
      </c>
      <c r="P31" s="95">
        <f t="shared" si="5"/>
        <v>1.4209199442562968</v>
      </c>
      <c r="Q31" s="95">
        <f t="shared" si="2"/>
        <v>2.393940298670588</v>
      </c>
      <c r="R31" s="95">
        <f t="shared" si="2"/>
        <v>2.9455784488456946</v>
      </c>
      <c r="S31" s="95">
        <f t="shared" si="2"/>
        <v>3.6342683960460009</v>
      </c>
      <c r="T31" s="95">
        <f t="shared" si="2"/>
        <v>5.0561397934640446</v>
      </c>
    </row>
    <row r="32" spans="1:48" x14ac:dyDescent="0.55000000000000004">
      <c r="A32" s="49">
        <v>12</v>
      </c>
      <c r="B32" s="95">
        <f t="shared" si="3"/>
        <v>1.5673631875179435</v>
      </c>
      <c r="C32" s="95">
        <f t="shared" si="0"/>
        <v>2.2994577431609549</v>
      </c>
      <c r="D32" s="95">
        <f t="shared" si="0"/>
        <v>3.5217389972325965</v>
      </c>
      <c r="E32" s="95">
        <f t="shared" si="0"/>
        <v>4.1378064877884739</v>
      </c>
      <c r="F32" s="95">
        <f t="shared" si="0"/>
        <v>5.0221003950716447</v>
      </c>
      <c r="H32" s="49">
        <v>12</v>
      </c>
      <c r="I32" s="95">
        <f t="shared" si="4"/>
        <v>0.8806563638213345</v>
      </c>
      <c r="J32" s="95">
        <f t="shared" si="1"/>
        <v>1.5063562833095472</v>
      </c>
      <c r="K32" s="95">
        <f t="shared" si="1"/>
        <v>2.4264796731853373</v>
      </c>
      <c r="L32" s="95">
        <f t="shared" si="1"/>
        <v>2.6728336174826905</v>
      </c>
      <c r="M32" s="95">
        <f t="shared" si="1"/>
        <v>3.3401106731985868</v>
      </c>
      <c r="O32" s="49">
        <v>12</v>
      </c>
      <c r="P32" s="95">
        <f t="shared" si="5"/>
        <v>1.1728250573073487</v>
      </c>
      <c r="Q32" s="95">
        <f t="shared" si="2"/>
        <v>1.8749591358133313</v>
      </c>
      <c r="R32" s="95">
        <f t="shared" si="2"/>
        <v>2.8158974159086894</v>
      </c>
      <c r="S32" s="95">
        <f t="shared" si="2"/>
        <v>3.1310695758320346</v>
      </c>
      <c r="T32" s="95">
        <f t="shared" si="2"/>
        <v>4.0019686933480152</v>
      </c>
    </row>
    <row r="33" spans="1:27" x14ac:dyDescent="0.55000000000000004">
      <c r="A33" s="49">
        <v>10</v>
      </c>
      <c r="B33" s="95">
        <f t="shared" si="3"/>
        <v>1.2300180183063778</v>
      </c>
      <c r="C33" s="95">
        <f t="shared" si="0"/>
        <v>1.8381522382783597</v>
      </c>
      <c r="D33" s="95">
        <f t="shared" si="0"/>
        <v>2.8323837440578248</v>
      </c>
      <c r="E33" s="95">
        <f t="shared" si="0"/>
        <v>3.2573821906541829</v>
      </c>
      <c r="F33" s="95">
        <f t="shared" si="0"/>
        <v>3.6155713975208785</v>
      </c>
      <c r="H33" s="49">
        <v>10</v>
      </c>
      <c r="I33" s="95">
        <f t="shared" si="4"/>
        <v>0.76526906964129471</v>
      </c>
      <c r="J33" s="95">
        <f t="shared" si="1"/>
        <v>1.2228577819380146</v>
      </c>
      <c r="K33" s="95">
        <f t="shared" si="1"/>
        <v>1.9361258810323612</v>
      </c>
      <c r="L33" s="95">
        <f t="shared" si="1"/>
        <v>2.0878164079665895</v>
      </c>
      <c r="M33" s="95">
        <f t="shared" si="1"/>
        <v>2.445250969050822</v>
      </c>
      <c r="O33" s="49">
        <v>10</v>
      </c>
      <c r="P33" s="95">
        <f t="shared" si="5"/>
        <v>0.96693538888125286</v>
      </c>
      <c r="Q33" s="95">
        <f t="shared" si="2"/>
        <v>1.4865179756128839</v>
      </c>
      <c r="R33" s="95">
        <f t="shared" si="2"/>
        <v>2.3255809288470415</v>
      </c>
      <c r="S33" s="95">
        <f t="shared" si="2"/>
        <v>2.4973074689031622</v>
      </c>
      <c r="T33" s="95">
        <f t="shared" si="2"/>
        <v>3.0303470686814338</v>
      </c>
    </row>
    <row r="34" spans="1:27" x14ac:dyDescent="0.55000000000000004">
      <c r="A34" s="49">
        <v>8</v>
      </c>
      <c r="B34" s="95">
        <f t="shared" si="3"/>
        <v>0.79277577158472745</v>
      </c>
      <c r="C34" s="95">
        <f t="shared" si="0"/>
        <v>1.3043358283672712</v>
      </c>
      <c r="D34" s="95">
        <f t="shared" si="0"/>
        <v>1.727434950802675</v>
      </c>
      <c r="E34" s="95">
        <f t="shared" si="0"/>
        <v>2.3353142308312327</v>
      </c>
      <c r="F34" s="95">
        <f t="shared" si="0"/>
        <v>2.7018096942707244</v>
      </c>
      <c r="H34" s="49">
        <v>8</v>
      </c>
      <c r="I34" s="95">
        <f t="shared" si="4"/>
        <v>0.45719449583801014</v>
      </c>
      <c r="J34" s="95">
        <f t="shared" si="1"/>
        <v>0.80860777745065615</v>
      </c>
      <c r="K34" s="95">
        <f t="shared" si="1"/>
        <v>1.1493999021880752</v>
      </c>
      <c r="L34" s="95">
        <f t="shared" si="1"/>
        <v>1.5132472768224061</v>
      </c>
      <c r="M34" s="95">
        <f t="shared" si="1"/>
        <v>1.9170150973401334</v>
      </c>
      <c r="O34" s="49">
        <v>8</v>
      </c>
      <c r="P34" s="95">
        <f t="shared" si="5"/>
        <v>0.63896461107780544</v>
      </c>
      <c r="Q34" s="95">
        <f t="shared" si="2"/>
        <v>1.0137332268132306</v>
      </c>
      <c r="R34" s="95">
        <f t="shared" si="2"/>
        <v>1.4470764820329431</v>
      </c>
      <c r="S34" s="95">
        <f t="shared" si="2"/>
        <v>1.8743639362768036</v>
      </c>
      <c r="T34" s="95">
        <f t="shared" si="2"/>
        <v>2.3367814430976948</v>
      </c>
    </row>
    <row r="35" spans="1:27" x14ac:dyDescent="0.55000000000000004">
      <c r="A35" s="49">
        <v>6</v>
      </c>
      <c r="B35" s="95">
        <f t="shared" si="3"/>
        <v>0.51963163309864813</v>
      </c>
      <c r="C35" s="95">
        <f t="shared" si="0"/>
        <v>0.81456943121491721</v>
      </c>
      <c r="D35" s="95">
        <f t="shared" si="0"/>
        <v>1.1481465230963932</v>
      </c>
      <c r="E35" s="95">
        <f t="shared" si="0"/>
        <v>1.4280592951491036</v>
      </c>
      <c r="F35" s="95">
        <f t="shared" si="0"/>
        <v>1.7160890899714756</v>
      </c>
      <c r="H35" s="49">
        <v>6</v>
      </c>
      <c r="I35" s="95">
        <f t="shared" si="4"/>
        <v>0.40135288160135574</v>
      </c>
      <c r="J35" s="95">
        <f t="shared" si="1"/>
        <v>0.63149942739751719</v>
      </c>
      <c r="K35" s="95">
        <f t="shared" si="1"/>
        <v>0.92022830742503103</v>
      </c>
      <c r="L35" s="95">
        <f t="shared" si="1"/>
        <v>1.1412098674841786</v>
      </c>
      <c r="M35" s="95">
        <f t="shared" si="1"/>
        <v>1.4426610449899282</v>
      </c>
      <c r="O35" s="49">
        <v>6</v>
      </c>
      <c r="P35" s="95">
        <f t="shared" si="5"/>
        <v>0.5253728636874605</v>
      </c>
      <c r="Q35" s="95">
        <f t="shared" si="2"/>
        <v>0.79624691477910914</v>
      </c>
      <c r="R35" s="95">
        <f t="shared" si="2"/>
        <v>1.1395405530990821</v>
      </c>
      <c r="S35" s="95">
        <f t="shared" si="2"/>
        <v>1.3786600554222115</v>
      </c>
      <c r="T35" s="95">
        <f t="shared" si="2"/>
        <v>1.7264812739282043</v>
      </c>
    </row>
    <row r="36" spans="1:27" x14ac:dyDescent="0.55000000000000004">
      <c r="A36" s="49">
        <v>5</v>
      </c>
      <c r="B36" s="95">
        <f t="shared" si="3"/>
        <v>0.48749300033034981</v>
      </c>
      <c r="C36" s="95">
        <f t="shared" si="0"/>
        <v>0.57596070590528914</v>
      </c>
      <c r="D36" s="95">
        <f t="shared" si="0"/>
        <v>0.85121181913779309</v>
      </c>
      <c r="E36" s="95">
        <f t="shared" si="0"/>
        <v>1.1380924854431871</v>
      </c>
      <c r="F36" s="95">
        <f t="shared" si="0"/>
        <v>1.3750219855535122</v>
      </c>
      <c r="H36" s="49">
        <v>5</v>
      </c>
      <c r="I36" s="95">
        <f t="shared" si="4"/>
        <v>0.38414936386368176</v>
      </c>
      <c r="J36" s="95">
        <f t="shared" si="1"/>
        <v>0.43632262612582545</v>
      </c>
      <c r="K36" s="95">
        <f t="shared" si="1"/>
        <v>0.65335140321071983</v>
      </c>
      <c r="L36" s="95">
        <f t="shared" si="1"/>
        <v>0.92359711633108255</v>
      </c>
      <c r="M36" s="95">
        <f t="shared" si="1"/>
        <v>1.1435135961385348</v>
      </c>
      <c r="O36" s="49">
        <v>5</v>
      </c>
      <c r="P36" s="95">
        <f t="shared" si="5"/>
        <v>0.49461551437005064</v>
      </c>
      <c r="Q36" s="95">
        <f t="shared" si="2"/>
        <v>0.57319689021854525</v>
      </c>
      <c r="R36" s="95">
        <f t="shared" si="2"/>
        <v>0.86742725873723847</v>
      </c>
      <c r="S36" s="95">
        <f t="shared" si="2"/>
        <v>1.1719411029334981</v>
      </c>
      <c r="T36" s="95">
        <f t="shared" si="2"/>
        <v>1.443936498165143</v>
      </c>
    </row>
    <row r="37" spans="1:27" x14ac:dyDescent="0.55000000000000004">
      <c r="A37" s="49">
        <v>4</v>
      </c>
      <c r="B37" s="95">
        <f t="shared" si="3"/>
        <v>0.4222352433510142</v>
      </c>
      <c r="C37" s="95">
        <f t="shared" si="0"/>
        <v>0.49957849343871324</v>
      </c>
      <c r="D37" s="95">
        <f t="shared" si="0"/>
        <v>0.6299497764202886</v>
      </c>
      <c r="E37" s="95">
        <f t="shared" si="0"/>
        <v>0.85512816828341243</v>
      </c>
      <c r="F37" s="95">
        <f t="shared" si="0"/>
        <v>1.0403305774626679</v>
      </c>
      <c r="H37" s="49">
        <v>4</v>
      </c>
      <c r="I37" s="95">
        <f t="shared" si="4"/>
        <v>0.32967284707411648</v>
      </c>
      <c r="J37" s="95">
        <f t="shared" si="1"/>
        <v>0.39586311718548778</v>
      </c>
      <c r="K37" s="95">
        <f t="shared" si="1"/>
        <v>0.50090390327167444</v>
      </c>
      <c r="L37" s="95">
        <f t="shared" si="1"/>
        <v>0.7003737311215682</v>
      </c>
      <c r="M37" s="95">
        <f t="shared" si="1"/>
        <v>0.87834560667210249</v>
      </c>
      <c r="O37" s="49">
        <v>4</v>
      </c>
      <c r="P37" s="95">
        <f t="shared" si="5"/>
        <v>0.42625436899274216</v>
      </c>
      <c r="Q37" s="95">
        <f t="shared" si="2"/>
        <v>0.53397542568402512</v>
      </c>
      <c r="R37" s="95">
        <f t="shared" si="2"/>
        <v>0.66111055352335879</v>
      </c>
      <c r="S37" s="95">
        <f t="shared" si="2"/>
        <v>0.8632609567010554</v>
      </c>
      <c r="T37" s="95">
        <f t="shared" si="2"/>
        <v>1.0834535901495519</v>
      </c>
    </row>
    <row r="38" spans="1:27" x14ac:dyDescent="0.55000000000000004">
      <c r="A38" s="49">
        <v>3</v>
      </c>
      <c r="B38" s="95">
        <f t="shared" si="3"/>
        <v>0.23212583751307039</v>
      </c>
      <c r="C38" s="95">
        <f t="shared" si="0"/>
        <v>0.43974439365246909</v>
      </c>
      <c r="D38" s="95">
        <f t="shared" si="0"/>
        <v>0.4533548098947674</v>
      </c>
      <c r="E38" s="95">
        <f t="shared" si="0"/>
        <v>0.58637256270123406</v>
      </c>
      <c r="F38" s="95">
        <f t="shared" si="0"/>
        <v>0.79178560564359801</v>
      </c>
      <c r="H38" s="49">
        <v>3</v>
      </c>
      <c r="I38" s="95">
        <f t="shared" si="4"/>
        <v>0.17534053145583989</v>
      </c>
      <c r="J38" s="95">
        <f t="shared" si="1"/>
        <v>0.36367766458531597</v>
      </c>
      <c r="K38" s="95">
        <f t="shared" si="1"/>
        <v>0.37501967812056458</v>
      </c>
      <c r="L38" s="95">
        <f t="shared" si="1"/>
        <v>0.47911529641214717</v>
      </c>
      <c r="M38" s="95">
        <f t="shared" si="1"/>
        <v>0.67224115802465856</v>
      </c>
      <c r="O38" s="49">
        <v>3</v>
      </c>
      <c r="P38" s="95">
        <f t="shared" si="5"/>
        <v>0.25440982695784259</v>
      </c>
      <c r="Q38" s="95">
        <f t="shared" si="2"/>
        <v>0.45189625934775207</v>
      </c>
      <c r="R38" s="95">
        <f t="shared" si="2"/>
        <v>0.46323827288300068</v>
      </c>
      <c r="S38" s="95">
        <f t="shared" si="2"/>
        <v>0.59716351334941131</v>
      </c>
      <c r="T38" s="95">
        <f t="shared" si="2"/>
        <v>0.82584670576797847</v>
      </c>
    </row>
    <row r="39" spans="1:27" x14ac:dyDescent="0.55000000000000004">
      <c r="A39" s="49">
        <v>2.5</v>
      </c>
      <c r="B39" s="95">
        <f t="shared" si="3"/>
        <v>0.22099803983132779</v>
      </c>
      <c r="C39" s="95">
        <f t="shared" si="0"/>
        <v>0.40649966957699174</v>
      </c>
      <c r="D39" s="95">
        <f t="shared" si="0"/>
        <v>0.4201100858192901</v>
      </c>
      <c r="E39" s="95">
        <f t="shared" si="0"/>
        <v>0.67631039698375472</v>
      </c>
      <c r="F39" s="95">
        <f t="shared" si="0"/>
        <v>0.67631039698375472</v>
      </c>
      <c r="H39" s="49">
        <v>2.5</v>
      </c>
      <c r="I39" s="95">
        <f t="shared" si="4"/>
        <v>0.16930404871766655</v>
      </c>
      <c r="J39" s="95">
        <f t="shared" si="1"/>
        <v>0.34478689984052757</v>
      </c>
      <c r="K39" s="95">
        <f t="shared" si="1"/>
        <v>0.35612891337577618</v>
      </c>
      <c r="L39" s="95">
        <f t="shared" si="1"/>
        <v>0.56275517371325845</v>
      </c>
      <c r="M39" s="95">
        <f t="shared" si="1"/>
        <v>0.56275517371325845</v>
      </c>
      <c r="O39" s="49">
        <v>2.5</v>
      </c>
      <c r="P39" s="95">
        <f t="shared" si="5"/>
        <v>0.2461502748752524</v>
      </c>
      <c r="Q39" s="95">
        <f t="shared" si="2"/>
        <v>0.41988649060519323</v>
      </c>
      <c r="R39" s="95">
        <f t="shared" si="2"/>
        <v>0.43122850414044184</v>
      </c>
      <c r="S39" s="95">
        <f t="shared" si="2"/>
        <v>0.69061236475992538</v>
      </c>
      <c r="T39" s="95">
        <f t="shared" si="2"/>
        <v>0.69061236475992538</v>
      </c>
    </row>
    <row r="40" spans="1:27" x14ac:dyDescent="0.55000000000000004">
      <c r="A40" s="49">
        <v>2</v>
      </c>
      <c r="B40" s="95">
        <f t="shared" si="3"/>
        <v>0.19044097372482785</v>
      </c>
      <c r="C40" s="95">
        <f t="shared" si="0"/>
        <v>0.32619825298523097</v>
      </c>
      <c r="D40" s="95">
        <f t="shared" si="0"/>
        <v>0.33754026652047958</v>
      </c>
      <c r="E40" s="95">
        <f t="shared" si="0"/>
        <v>0.54487673247191226</v>
      </c>
      <c r="F40" s="95">
        <f t="shared" si="0"/>
        <v>0.54487673247191226</v>
      </c>
      <c r="H40" s="49">
        <v>2</v>
      </c>
      <c r="I40" s="95">
        <f t="shared" si="4"/>
        <v>0.15308034786981253</v>
      </c>
      <c r="J40" s="95">
        <f t="shared" si="1"/>
        <v>0.28070918409662082</v>
      </c>
      <c r="K40" s="95">
        <f t="shared" si="1"/>
        <v>0.29016086204266134</v>
      </c>
      <c r="L40" s="95">
        <f t="shared" si="1"/>
        <v>0.45836738129748639</v>
      </c>
      <c r="M40" s="95">
        <f t="shared" si="1"/>
        <v>0.45836738129748639</v>
      </c>
      <c r="O40" s="49">
        <v>2</v>
      </c>
      <c r="P40" s="95">
        <f t="shared" si="5"/>
        <v>0.20336348550462177</v>
      </c>
      <c r="Q40" s="95">
        <f t="shared" si="2"/>
        <v>0.34010000290222814</v>
      </c>
      <c r="R40" s="95">
        <f t="shared" si="2"/>
        <v>0.34955168084826865</v>
      </c>
      <c r="S40" s="95">
        <f t="shared" si="2"/>
        <v>0.55938356792303834</v>
      </c>
      <c r="T40" s="95">
        <f t="shared" si="2"/>
        <v>0.55938356792303834</v>
      </c>
    </row>
    <row r="41" spans="1:27" x14ac:dyDescent="0.55000000000000004">
      <c r="A41" s="49">
        <v>1.5</v>
      </c>
      <c r="B41" s="95">
        <f t="shared" si="3"/>
        <v>0.1536301024186984</v>
      </c>
      <c r="C41" s="95">
        <f t="shared" si="0"/>
        <v>0.21075737365765398</v>
      </c>
      <c r="D41" s="95">
        <f t="shared" si="0"/>
        <v>0.21642838042527829</v>
      </c>
      <c r="E41" s="95">
        <f t="shared" si="0"/>
        <v>0.29845916736292</v>
      </c>
      <c r="F41" s="95">
        <f t="shared" si="0"/>
        <v>0.29845916736292</v>
      </c>
      <c r="H41" s="49">
        <v>1.5</v>
      </c>
      <c r="I41" s="95">
        <f t="shared" si="4"/>
        <v>0.12598583476211914</v>
      </c>
      <c r="J41" s="95">
        <f t="shared" si="1"/>
        <v>0.17444591732455555</v>
      </c>
      <c r="K41" s="95">
        <f t="shared" si="1"/>
        <v>0.17898272273865501</v>
      </c>
      <c r="L41" s="95">
        <f t="shared" si="1"/>
        <v>0.2570532566169057</v>
      </c>
      <c r="M41" s="95">
        <f t="shared" si="1"/>
        <v>0.2570532566169057</v>
      </c>
      <c r="O41" s="49">
        <v>1.5</v>
      </c>
      <c r="P41" s="95">
        <f t="shared" si="5"/>
        <v>0.16157343906585203</v>
      </c>
      <c r="Q41" s="95">
        <f t="shared" si="2"/>
        <v>0.23696521152683581</v>
      </c>
      <c r="R41" s="95">
        <f t="shared" si="2"/>
        <v>0.24150201694093526</v>
      </c>
      <c r="S41" s="95">
        <f t="shared" si="2"/>
        <v>0.34995977394040367</v>
      </c>
      <c r="T41" s="95">
        <f t="shared" si="2"/>
        <v>0.34995977394040367</v>
      </c>
    </row>
    <row r="42" spans="1:27" x14ac:dyDescent="0.55000000000000004">
      <c r="A42" s="49">
        <v>1.25</v>
      </c>
      <c r="B42" s="95">
        <f t="shared" si="3"/>
        <v>0.14273511544358575</v>
      </c>
      <c r="C42" s="95">
        <f t="shared" si="0"/>
        <v>0.17102716068384788</v>
      </c>
      <c r="D42" s="95">
        <f t="shared" si="0"/>
        <v>0.17575299965686814</v>
      </c>
      <c r="E42" s="95">
        <f t="shared" si="0"/>
        <v>0.24733089567018779</v>
      </c>
      <c r="F42" s="95">
        <f t="shared" si="0"/>
        <v>0.24733089567018779</v>
      </c>
      <c r="H42" s="49">
        <v>1.25</v>
      </c>
      <c r="I42" s="95">
        <f t="shared" si="4"/>
        <v>0.12016027415672118</v>
      </c>
      <c r="J42" s="95">
        <f t="shared" si="1"/>
        <v>0.14337344134932256</v>
      </c>
      <c r="K42" s="95">
        <f t="shared" si="1"/>
        <v>0.14715411252773877</v>
      </c>
      <c r="L42" s="95">
        <f t="shared" si="1"/>
        <v>0.21260732123202414</v>
      </c>
      <c r="M42" s="95">
        <f t="shared" si="1"/>
        <v>0.21260732123202414</v>
      </c>
      <c r="O42" s="49">
        <v>1.25</v>
      </c>
      <c r="P42" s="95">
        <f t="shared" si="5"/>
        <v>0.15164537404873121</v>
      </c>
      <c r="Q42" s="95">
        <f t="shared" si="2"/>
        <v>0.19151856934998143</v>
      </c>
      <c r="R42" s="95">
        <f t="shared" si="2"/>
        <v>0.19529924052839764</v>
      </c>
      <c r="S42" s="95">
        <f t="shared" si="2"/>
        <v>0.28504333070262128</v>
      </c>
      <c r="T42" s="95">
        <f t="shared" si="2"/>
        <v>0.28504333070262128</v>
      </c>
    </row>
    <row r="43" spans="1:27" x14ac:dyDescent="0.55000000000000004">
      <c r="A43" s="49">
        <v>1</v>
      </c>
      <c r="B43" s="95">
        <f t="shared" si="3"/>
        <v>0.13313886463168259</v>
      </c>
      <c r="C43" s="95">
        <f t="shared" si="3"/>
        <v>0.15993089077519632</v>
      </c>
      <c r="D43" s="95">
        <f t="shared" si="3"/>
        <v>0.16371156195361253</v>
      </c>
      <c r="E43" s="95">
        <f t="shared" si="3"/>
        <v>0.2360455922026154</v>
      </c>
      <c r="F43" s="95">
        <f t="shared" si="3"/>
        <v>0.2360455922026154</v>
      </c>
      <c r="H43" s="49">
        <v>1</v>
      </c>
      <c r="I43" s="95">
        <f t="shared" si="4"/>
        <v>0.11498408163292799</v>
      </c>
      <c r="J43" s="95">
        <f t="shared" si="4"/>
        <v>0.13735272249769476</v>
      </c>
      <c r="K43" s="95">
        <f t="shared" si="4"/>
        <v>0.14018822588150689</v>
      </c>
      <c r="L43" s="95">
        <f t="shared" si="4"/>
        <v>0.20696466949823794</v>
      </c>
      <c r="M43" s="95">
        <f t="shared" si="4"/>
        <v>0.20696466949823794</v>
      </c>
      <c r="O43" s="49">
        <v>1</v>
      </c>
      <c r="P43" s="95">
        <f t="shared" si="5"/>
        <v>0.14731649500135097</v>
      </c>
      <c r="Q43" s="95">
        <f t="shared" si="5"/>
        <v>0.18008579532863431</v>
      </c>
      <c r="R43" s="95">
        <f t="shared" si="5"/>
        <v>0.18292129871244645</v>
      </c>
      <c r="S43" s="95">
        <f t="shared" si="5"/>
        <v>0.27221170365721853</v>
      </c>
      <c r="T43" s="95">
        <f t="shared" si="5"/>
        <v>0.27221170365721853</v>
      </c>
    </row>
    <row r="44" spans="1:27" x14ac:dyDescent="0.55000000000000004">
      <c r="A44" s="49">
        <v>0.75</v>
      </c>
      <c r="B44" s="95">
        <f t="shared" ref="B44:F45" si="6">B21+W21+AD21+AR21</f>
        <v>0.12431099743008076</v>
      </c>
      <c r="C44" s="95">
        <f t="shared" si="6"/>
        <v>0.15354155648367296</v>
      </c>
      <c r="D44" s="95">
        <f t="shared" si="6"/>
        <v>0.15732222766208917</v>
      </c>
      <c r="E44" s="95">
        <f t="shared" si="6"/>
        <v>0.19049297614134311</v>
      </c>
      <c r="F44" s="95">
        <f t="shared" si="6"/>
        <v>0.19049297614134311</v>
      </c>
      <c r="H44" s="49">
        <v>0.75</v>
      </c>
      <c r="I44" s="95">
        <f t="shared" ref="I44:M45" si="7">I21+W21+AD21+AK21</f>
        <v>0.11019208091428544</v>
      </c>
      <c r="J44" s="95">
        <f t="shared" si="7"/>
        <v>0.13368547145463106</v>
      </c>
      <c r="K44" s="95">
        <f t="shared" si="7"/>
        <v>0.13652097483844319</v>
      </c>
      <c r="L44" s="95">
        <f t="shared" si="7"/>
        <v>0.16714922195021226</v>
      </c>
      <c r="M44" s="95">
        <f t="shared" si="7"/>
        <v>0.16714922195021226</v>
      </c>
      <c r="O44" s="49">
        <v>0.75</v>
      </c>
      <c r="P44" s="95">
        <f t="shared" ref="P44:T45" si="8">P21+W21+AD21+AK21</f>
        <v>0.13803870823974274</v>
      </c>
      <c r="Q44" s="95">
        <f t="shared" si="8"/>
        <v>0.16921256251690944</v>
      </c>
      <c r="R44" s="95">
        <f t="shared" si="8"/>
        <v>0.17204806590072158</v>
      </c>
      <c r="S44" s="95">
        <f t="shared" si="8"/>
        <v>0.21547202907294633</v>
      </c>
      <c r="T44" s="95">
        <f t="shared" si="8"/>
        <v>0.21547202907294633</v>
      </c>
    </row>
    <row r="45" spans="1:27" x14ac:dyDescent="0.55000000000000004">
      <c r="A45" s="49">
        <v>0.5</v>
      </c>
      <c r="B45" s="95">
        <f t="shared" si="6"/>
        <v>0.11642829802308298</v>
      </c>
      <c r="C45" s="95">
        <f t="shared" si="6"/>
        <v>0.1237628001092104</v>
      </c>
      <c r="D45" s="95">
        <f t="shared" si="6"/>
        <v>0.12678733705194337</v>
      </c>
      <c r="E45" s="95">
        <f t="shared" si="6"/>
        <v>0.18249307592781444</v>
      </c>
      <c r="F45" s="95">
        <f t="shared" si="6"/>
        <v>0.18249307592781444</v>
      </c>
      <c r="H45" s="49">
        <v>0.5</v>
      </c>
      <c r="I45" s="95">
        <f t="shared" si="7"/>
        <v>0.10587266409294493</v>
      </c>
      <c r="J45" s="95">
        <f t="shared" si="7"/>
        <v>0.11029604937169189</v>
      </c>
      <c r="K45" s="95">
        <f t="shared" si="7"/>
        <v>0.11256445207874161</v>
      </c>
      <c r="L45" s="95">
        <f t="shared" si="7"/>
        <v>0.16206043854406404</v>
      </c>
      <c r="M45" s="95">
        <f t="shared" si="7"/>
        <v>0.16206043854406404</v>
      </c>
      <c r="O45" s="49">
        <v>0.5</v>
      </c>
      <c r="P45" s="95">
        <f t="shared" si="8"/>
        <v>0.12932046268775674</v>
      </c>
      <c r="Q45" s="95">
        <f t="shared" si="8"/>
        <v>0.13516916967364365</v>
      </c>
      <c r="R45" s="95">
        <f t="shared" si="8"/>
        <v>0.13743757238069337</v>
      </c>
      <c r="S45" s="95">
        <f t="shared" si="8"/>
        <v>0.20251942617548421</v>
      </c>
      <c r="T45" s="95">
        <f t="shared" si="8"/>
        <v>0.20251942617548421</v>
      </c>
    </row>
    <row r="47" spans="1:27" x14ac:dyDescent="0.55000000000000004">
      <c r="A47" s="93" t="s">
        <v>516</v>
      </c>
      <c r="B47" s="93"/>
      <c r="C47" s="93"/>
      <c r="D47" s="93"/>
      <c r="E47" s="93"/>
      <c r="F47" s="93"/>
      <c r="H47" s="93" t="s">
        <v>517</v>
      </c>
      <c r="I47" s="93"/>
      <c r="J47" s="93"/>
      <c r="K47" s="93"/>
      <c r="L47" s="93"/>
      <c r="M47" s="93"/>
      <c r="O47" s="93" t="s">
        <v>518</v>
      </c>
      <c r="P47" s="93"/>
      <c r="Q47" s="93"/>
      <c r="R47" s="93"/>
      <c r="S47" s="93"/>
      <c r="T47" s="93"/>
      <c r="V47" s="93" t="s">
        <v>519</v>
      </c>
      <c r="W47" s="93"/>
      <c r="X47" s="93"/>
      <c r="Y47" s="93"/>
      <c r="Z47" s="93"/>
      <c r="AA47" s="93"/>
    </row>
    <row r="48" spans="1:27" x14ac:dyDescent="0.55000000000000004">
      <c r="A48" s="76" t="s">
        <v>108</v>
      </c>
      <c r="B48" s="94" t="s">
        <v>381</v>
      </c>
      <c r="C48" s="94"/>
      <c r="D48" s="94"/>
      <c r="E48" s="94"/>
      <c r="F48" s="94"/>
      <c r="H48" s="76" t="s">
        <v>108</v>
      </c>
      <c r="I48" s="94" t="s">
        <v>381</v>
      </c>
      <c r="J48" s="94"/>
      <c r="K48" s="94"/>
      <c r="L48" s="94"/>
      <c r="M48" s="94"/>
      <c r="O48" s="76" t="s">
        <v>108</v>
      </c>
      <c r="P48" s="94" t="s">
        <v>381</v>
      </c>
      <c r="Q48" s="94"/>
      <c r="R48" s="94"/>
      <c r="S48" s="94"/>
      <c r="T48" s="94"/>
      <c r="V48" s="76" t="s">
        <v>108</v>
      </c>
      <c r="W48" s="94" t="s">
        <v>381</v>
      </c>
      <c r="X48" s="94"/>
      <c r="Y48" s="94"/>
      <c r="Z48" s="94"/>
      <c r="AA48" s="94"/>
    </row>
    <row r="49" spans="1:27" x14ac:dyDescent="0.55000000000000004">
      <c r="A49" s="77"/>
      <c r="B49" s="49">
        <v>150</v>
      </c>
      <c r="C49" s="49">
        <v>300</v>
      </c>
      <c r="D49" s="49">
        <v>600</v>
      </c>
      <c r="E49" s="49">
        <v>900</v>
      </c>
      <c r="F49" s="49">
        <v>1500</v>
      </c>
      <c r="H49" s="77"/>
      <c r="I49" s="49">
        <v>150</v>
      </c>
      <c r="J49" s="49">
        <v>300</v>
      </c>
      <c r="K49" s="49">
        <v>600</v>
      </c>
      <c r="L49" s="49">
        <v>900</v>
      </c>
      <c r="M49" s="49">
        <v>1500</v>
      </c>
      <c r="O49" s="77"/>
      <c r="P49" s="49">
        <v>150</v>
      </c>
      <c r="Q49" s="49">
        <v>300</v>
      </c>
      <c r="R49" s="49">
        <v>600</v>
      </c>
      <c r="S49" s="49">
        <v>900</v>
      </c>
      <c r="T49" s="49">
        <v>1500</v>
      </c>
      <c r="V49" s="77"/>
      <c r="W49" s="49">
        <v>150</v>
      </c>
      <c r="X49" s="49">
        <v>300</v>
      </c>
      <c r="Y49" s="49">
        <v>600</v>
      </c>
      <c r="Z49" s="49">
        <v>900</v>
      </c>
      <c r="AA49" s="49">
        <v>1500</v>
      </c>
    </row>
    <row r="50" spans="1:27" x14ac:dyDescent="0.55000000000000004">
      <c r="A50" s="49">
        <v>24</v>
      </c>
      <c r="B50" s="98">
        <v>714.375</v>
      </c>
      <c r="C50" s="98">
        <v>771.52499999999998</v>
      </c>
      <c r="D50" s="98">
        <v>787.4</v>
      </c>
      <c r="E50" s="98">
        <v>835.02499999999998</v>
      </c>
      <c r="F50" s="62">
        <v>898.52499999999998</v>
      </c>
      <c r="H50" s="49">
        <v>24</v>
      </c>
      <c r="I50" s="49">
        <v>815</v>
      </c>
      <c r="J50" s="49">
        <v>915</v>
      </c>
      <c r="K50" s="49">
        <v>940</v>
      </c>
      <c r="L50" s="49">
        <v>1040</v>
      </c>
      <c r="M50" s="36">
        <v>1170</v>
      </c>
      <c r="O50" s="49">
        <v>24</v>
      </c>
      <c r="P50" s="49" t="str">
        <f>IF(B50&lt;$B$72,$A$72,IF(B50&lt;$B$73,$A$73,IF(B50&lt;$B$74,$A$74,IF(B50&lt;$B$75,$A$75,IF(B50&lt;$B$76,$A$76,IF(B50&lt;$B$77,$A$77,IF(B50&lt;$B$78,$A$78,"-")))))))</f>
        <v>CAJA 5</v>
      </c>
      <c r="Q50" s="49" t="str">
        <f t="shared" ref="Q50:T65" si="9">IF(C50&lt;$B$72,$A$72,IF(C50&lt;$B$73,$A$73,IF(C50&lt;$B$74,$A$74,IF(C50&lt;$B$75,$A$75,IF(C50&lt;$B$76,$A$76,IF(C50&lt;$B$77,$A$77,IF(C50&lt;$B$78,$A$78,"-")))))))</f>
        <v>CAJA 5</v>
      </c>
      <c r="R50" s="49" t="str">
        <f t="shared" si="9"/>
        <v>CAJA 5</v>
      </c>
      <c r="S50" s="49" t="str">
        <f t="shared" si="9"/>
        <v>CAJA 6</v>
      </c>
      <c r="T50" s="49" t="str">
        <f t="shared" si="9"/>
        <v>CAJA 6</v>
      </c>
      <c r="V50" s="49">
        <v>24</v>
      </c>
      <c r="W50" s="49" t="str">
        <f>IF(I50&lt;$B$72,$A$72,IF(I50&lt;$B$73,$A$73,IF(I50&lt;$B$74,$A$74,IF(I50&lt;$B$75,$A$75,IF(I50&lt;$B$76,$A$76,IF(I50&lt;$B$77,$A$77,IF(I50&lt;$B$78,$A$78,"-")))))))</f>
        <v>CAJA 6</v>
      </c>
      <c r="X50" s="49" t="str">
        <f t="shared" ref="X50:AA68" si="10">IF(J50&lt;$B$72,$A$72,IF(J50&lt;$B$73,$A$73,IF(J50&lt;$B$74,$A$74,IF(J50&lt;$B$75,$A$75,IF(J50&lt;$B$76,$A$76,IF(J50&lt;$B$77,$A$77,IF(J50&lt;$B$78,$A$78,"-")))))))</f>
        <v>CAJA 6</v>
      </c>
      <c r="Y50" s="49" t="str">
        <f t="shared" si="10"/>
        <v>CAJA 6</v>
      </c>
      <c r="Z50" s="49" t="str">
        <f t="shared" si="10"/>
        <v>CAJA 7</v>
      </c>
      <c r="AA50" s="49" t="str">
        <f t="shared" si="10"/>
        <v>CAJA 7</v>
      </c>
    </row>
    <row r="51" spans="1:27" x14ac:dyDescent="0.55000000000000004">
      <c r="A51" s="49">
        <v>20</v>
      </c>
      <c r="B51" s="98">
        <v>603.25</v>
      </c>
      <c r="C51" s="98">
        <v>650.875</v>
      </c>
      <c r="D51" s="98">
        <v>679.37379999999996</v>
      </c>
      <c r="E51" s="98">
        <v>695.32499999999993</v>
      </c>
      <c r="F51" s="62">
        <v>752.47499999999991</v>
      </c>
      <c r="H51" s="49">
        <v>20</v>
      </c>
      <c r="I51" s="49">
        <v>700</v>
      </c>
      <c r="J51" s="49">
        <v>775</v>
      </c>
      <c r="K51" s="49">
        <v>815</v>
      </c>
      <c r="L51" s="49">
        <v>855</v>
      </c>
      <c r="M51" s="36">
        <v>985</v>
      </c>
      <c r="O51" s="49">
        <v>20</v>
      </c>
      <c r="P51" s="49" t="str">
        <f t="shared" ref="P51:T68" si="11">IF(B51&lt;$B$72,$A$72,IF(B51&lt;$B$73,$A$73,IF(B51&lt;$B$74,$A$74,IF(B51&lt;$B$75,$A$75,IF(B51&lt;$B$76,$A$76,IF(B51&lt;$B$77,$A$77,IF(B51&lt;$B$78,$A$78,"-")))))))</f>
        <v>CAJA 5</v>
      </c>
      <c r="Q51" s="49" t="str">
        <f t="shared" si="9"/>
        <v>CAJA 5</v>
      </c>
      <c r="R51" s="49" t="str">
        <f t="shared" si="9"/>
        <v>CAJA 5</v>
      </c>
      <c r="S51" s="49" t="str">
        <f t="shared" si="9"/>
        <v>CAJA 5</v>
      </c>
      <c r="T51" s="49" t="str">
        <f t="shared" si="9"/>
        <v>CAJA 5</v>
      </c>
      <c r="V51" s="49">
        <v>20</v>
      </c>
      <c r="W51" s="49" t="str">
        <f t="shared" ref="W51:W68" si="12">IF(I51&lt;$B$72,$A$72,IF(I51&lt;$B$73,$A$73,IF(I51&lt;$B$74,$A$74,IF(I51&lt;$B$75,$A$75,IF(I51&lt;$B$76,$A$76,IF(I51&lt;$B$77,$A$77,IF(I51&lt;$B$78,$A$78,"-")))))))</f>
        <v>CAJA 5</v>
      </c>
      <c r="X51" s="49" t="str">
        <f t="shared" si="10"/>
        <v>CAJA 5</v>
      </c>
      <c r="Y51" s="49" t="str">
        <f t="shared" si="10"/>
        <v>CAJA 6</v>
      </c>
      <c r="Z51" s="49" t="str">
        <f t="shared" si="10"/>
        <v>CAJA 6</v>
      </c>
      <c r="AA51" s="49" t="str">
        <f t="shared" si="10"/>
        <v>CAJA 6</v>
      </c>
    </row>
    <row r="52" spans="1:27" x14ac:dyDescent="0.55000000000000004">
      <c r="A52" s="49">
        <v>18</v>
      </c>
      <c r="B52" s="98">
        <v>546.1</v>
      </c>
      <c r="C52" s="98">
        <v>593.72500000000002</v>
      </c>
      <c r="D52" s="98">
        <v>609.59999999999991</v>
      </c>
      <c r="E52" s="98">
        <v>635</v>
      </c>
      <c r="F52" s="62">
        <v>701.67499999999995</v>
      </c>
      <c r="H52" s="49">
        <v>18</v>
      </c>
      <c r="I52" s="49">
        <v>635</v>
      </c>
      <c r="J52" s="49">
        <v>710</v>
      </c>
      <c r="K52" s="49">
        <v>745</v>
      </c>
      <c r="L52" s="49">
        <v>785</v>
      </c>
      <c r="M52" s="36">
        <v>915</v>
      </c>
      <c r="O52" s="49">
        <v>18</v>
      </c>
      <c r="P52" s="49" t="str">
        <f t="shared" si="11"/>
        <v>CAJA 4</v>
      </c>
      <c r="Q52" s="49" t="str">
        <f t="shared" si="9"/>
        <v>CAJA 4</v>
      </c>
      <c r="R52" s="49" t="str">
        <f t="shared" si="9"/>
        <v>CAJA 5</v>
      </c>
      <c r="S52" s="49" t="str">
        <f t="shared" si="9"/>
        <v>CAJA 5</v>
      </c>
      <c r="T52" s="49" t="str">
        <f t="shared" si="9"/>
        <v>CAJA 5</v>
      </c>
      <c r="V52" s="49">
        <v>18</v>
      </c>
      <c r="W52" s="49" t="str">
        <f t="shared" si="12"/>
        <v>CAJA 5</v>
      </c>
      <c r="X52" s="49" t="str">
        <f t="shared" si="10"/>
        <v>CAJA 5</v>
      </c>
      <c r="Y52" s="49" t="str">
        <f t="shared" si="10"/>
        <v>CAJA 5</v>
      </c>
      <c r="Z52" s="49" t="str">
        <f t="shared" si="10"/>
        <v>CAJA 5</v>
      </c>
      <c r="AA52" s="49" t="str">
        <f t="shared" si="10"/>
        <v>CAJA 6</v>
      </c>
    </row>
    <row r="53" spans="1:27" x14ac:dyDescent="0.55000000000000004">
      <c r="A53" s="49">
        <v>16</v>
      </c>
      <c r="B53" s="98">
        <v>511.17499999999995</v>
      </c>
      <c r="C53" s="98">
        <v>536.57499999999993</v>
      </c>
      <c r="D53" s="98">
        <v>561.97500000000002</v>
      </c>
      <c r="E53" s="98">
        <v>571.5</v>
      </c>
      <c r="F53" s="62">
        <v>638.17499999999995</v>
      </c>
      <c r="H53" s="49">
        <v>16</v>
      </c>
      <c r="I53" s="49">
        <v>595</v>
      </c>
      <c r="J53" s="49">
        <v>650</v>
      </c>
      <c r="K53" s="49">
        <v>685</v>
      </c>
      <c r="L53" s="49">
        <v>705</v>
      </c>
      <c r="M53" s="36">
        <v>825</v>
      </c>
      <c r="O53" s="49">
        <v>16</v>
      </c>
      <c r="P53" s="49" t="str">
        <f t="shared" si="11"/>
        <v>CAJA 4</v>
      </c>
      <c r="Q53" s="49" t="str">
        <f t="shared" si="9"/>
        <v>CAJA 4</v>
      </c>
      <c r="R53" s="49" t="str">
        <f t="shared" si="9"/>
        <v>CAJA 4</v>
      </c>
      <c r="S53" s="49" t="str">
        <f t="shared" si="9"/>
        <v>CAJA 4</v>
      </c>
      <c r="T53" s="49" t="str">
        <f t="shared" si="9"/>
        <v>CAJA 5</v>
      </c>
      <c r="V53" s="49">
        <v>16</v>
      </c>
      <c r="W53" s="49" t="str">
        <f t="shared" si="12"/>
        <v>CAJA 4</v>
      </c>
      <c r="X53" s="49" t="str">
        <f t="shared" si="10"/>
        <v>CAJA 5</v>
      </c>
      <c r="Y53" s="49" t="str">
        <f t="shared" si="10"/>
        <v>CAJA 5</v>
      </c>
      <c r="Z53" s="49" t="str">
        <f t="shared" si="10"/>
        <v>CAJA 5</v>
      </c>
      <c r="AA53" s="49" t="str">
        <f t="shared" si="10"/>
        <v>CAJA 6</v>
      </c>
    </row>
    <row r="54" spans="1:27" x14ac:dyDescent="0.55000000000000004">
      <c r="A54" s="49">
        <v>14</v>
      </c>
      <c r="B54" s="98">
        <v>447.67499999999995</v>
      </c>
      <c r="C54" s="98">
        <v>482.59999999999997</v>
      </c>
      <c r="D54" s="98">
        <v>488.95</v>
      </c>
      <c r="E54" s="98">
        <v>517.52499999999998</v>
      </c>
      <c r="F54" s="62">
        <v>574.67499999999995</v>
      </c>
      <c r="H54" s="49">
        <v>14</v>
      </c>
      <c r="I54" s="49">
        <v>535</v>
      </c>
      <c r="J54" s="49">
        <v>585</v>
      </c>
      <c r="K54" s="49">
        <v>605</v>
      </c>
      <c r="L54" s="49">
        <v>640</v>
      </c>
      <c r="M54" s="36">
        <v>750</v>
      </c>
      <c r="O54" s="49">
        <v>14</v>
      </c>
      <c r="P54" s="49" t="str">
        <f t="shared" si="11"/>
        <v>CAJA 4</v>
      </c>
      <c r="Q54" s="49" t="str">
        <f t="shared" si="9"/>
        <v>CAJA 4</v>
      </c>
      <c r="R54" s="49" t="str">
        <f t="shared" si="9"/>
        <v>CAJA 4</v>
      </c>
      <c r="S54" s="49" t="str">
        <f t="shared" si="9"/>
        <v>CAJA 4</v>
      </c>
      <c r="T54" s="49" t="str">
        <f t="shared" si="9"/>
        <v>CAJA 4</v>
      </c>
      <c r="V54" s="49">
        <v>14</v>
      </c>
      <c r="W54" s="49" t="str">
        <f t="shared" si="12"/>
        <v>CAJA 4</v>
      </c>
      <c r="X54" s="49" t="str">
        <f t="shared" si="10"/>
        <v>CAJA 4</v>
      </c>
      <c r="Y54" s="49" t="str">
        <f t="shared" si="10"/>
        <v>CAJA 5</v>
      </c>
      <c r="Z54" s="49" t="str">
        <f t="shared" si="10"/>
        <v>CAJA 5</v>
      </c>
      <c r="AA54" s="49" t="str">
        <f t="shared" si="10"/>
        <v>CAJA 5</v>
      </c>
    </row>
    <row r="55" spans="1:27" x14ac:dyDescent="0.55000000000000004">
      <c r="A55" s="49">
        <v>12</v>
      </c>
      <c r="B55" s="98">
        <v>406.4</v>
      </c>
      <c r="C55" s="98">
        <v>419.09999999999997</v>
      </c>
      <c r="D55" s="98">
        <v>454.02499999999998</v>
      </c>
      <c r="E55" s="98">
        <v>495.29999999999995</v>
      </c>
      <c r="F55" s="62">
        <v>517.52499999999998</v>
      </c>
      <c r="H55" s="49">
        <v>12</v>
      </c>
      <c r="I55" s="49">
        <v>485</v>
      </c>
      <c r="J55" s="49">
        <v>520</v>
      </c>
      <c r="K55" s="49">
        <v>560</v>
      </c>
      <c r="L55" s="49">
        <v>610</v>
      </c>
      <c r="M55" s="36">
        <v>675</v>
      </c>
      <c r="O55" s="49">
        <v>12</v>
      </c>
      <c r="P55" s="49" t="str">
        <f t="shared" si="11"/>
        <v>CAJA 4</v>
      </c>
      <c r="Q55" s="49" t="str">
        <f t="shared" si="9"/>
        <v>CAJA 4</v>
      </c>
      <c r="R55" s="49" t="str">
        <f t="shared" si="9"/>
        <v>CAJA 4</v>
      </c>
      <c r="S55" s="49" t="str">
        <f t="shared" si="9"/>
        <v>CAJA 4</v>
      </c>
      <c r="T55" s="49" t="str">
        <f t="shared" si="9"/>
        <v>CAJA 4</v>
      </c>
      <c r="V55" s="49">
        <v>12</v>
      </c>
      <c r="W55" s="49" t="str">
        <f t="shared" si="12"/>
        <v>CAJA 4</v>
      </c>
      <c r="X55" s="49" t="str">
        <f t="shared" si="10"/>
        <v>CAJA 4</v>
      </c>
      <c r="Y55" s="49" t="str">
        <f t="shared" si="10"/>
        <v>CAJA 4</v>
      </c>
      <c r="Z55" s="49" t="str">
        <f t="shared" si="10"/>
        <v>CAJA 5</v>
      </c>
      <c r="AA55" s="49" t="str">
        <f t="shared" si="10"/>
        <v>CAJA 5</v>
      </c>
    </row>
    <row r="56" spans="1:27" x14ac:dyDescent="0.55000000000000004">
      <c r="A56" s="49">
        <v>10</v>
      </c>
      <c r="B56" s="98">
        <v>336.54999999999995</v>
      </c>
      <c r="C56" s="98">
        <v>358.77499999999998</v>
      </c>
      <c r="D56" s="98">
        <v>396.875</v>
      </c>
      <c r="E56" s="98">
        <v>431.79999999999995</v>
      </c>
      <c r="F56" s="62">
        <v>431.79999999999995</v>
      </c>
      <c r="H56" s="49">
        <v>10</v>
      </c>
      <c r="I56" s="49">
        <v>405</v>
      </c>
      <c r="J56" s="49">
        <v>445</v>
      </c>
      <c r="K56" s="49">
        <v>510</v>
      </c>
      <c r="L56" s="49">
        <v>545</v>
      </c>
      <c r="M56" s="36">
        <v>585</v>
      </c>
      <c r="O56" s="49">
        <v>10</v>
      </c>
      <c r="P56" s="49" t="str">
        <f t="shared" si="11"/>
        <v>CAJA 3</v>
      </c>
      <c r="Q56" s="49" t="str">
        <f t="shared" si="9"/>
        <v>CAJA 3</v>
      </c>
      <c r="R56" s="49" t="str">
        <f t="shared" si="9"/>
        <v>CAJA 3</v>
      </c>
      <c r="S56" s="49" t="str">
        <f t="shared" si="9"/>
        <v>CAJA 4</v>
      </c>
      <c r="T56" s="49" t="str">
        <f t="shared" si="9"/>
        <v>CAJA 4</v>
      </c>
      <c r="V56" s="49">
        <v>10</v>
      </c>
      <c r="W56" s="49" t="str">
        <f t="shared" si="12"/>
        <v>CAJA 4</v>
      </c>
      <c r="X56" s="49" t="str">
        <f t="shared" si="10"/>
        <v>CAJA 4</v>
      </c>
      <c r="Y56" s="49" t="str">
        <f t="shared" si="10"/>
        <v>CAJA 4</v>
      </c>
      <c r="Z56" s="49" t="str">
        <f t="shared" si="10"/>
        <v>CAJA 4</v>
      </c>
      <c r="AA56" s="49" t="str">
        <f t="shared" si="10"/>
        <v>CAJA 4</v>
      </c>
    </row>
    <row r="57" spans="1:27" x14ac:dyDescent="0.55000000000000004">
      <c r="A57" s="49">
        <v>8</v>
      </c>
      <c r="B57" s="98">
        <v>276.22499999999997</v>
      </c>
      <c r="C57" s="98">
        <v>304.79999999999995</v>
      </c>
      <c r="D57" s="98">
        <v>317.5</v>
      </c>
      <c r="E57" s="98">
        <v>355.59999999999997</v>
      </c>
      <c r="F57" s="62">
        <v>349.25</v>
      </c>
      <c r="H57" s="49">
        <v>8</v>
      </c>
      <c r="I57" s="49">
        <v>345</v>
      </c>
      <c r="J57" s="49">
        <v>380</v>
      </c>
      <c r="K57" s="49">
        <v>420</v>
      </c>
      <c r="L57" s="49">
        <v>470</v>
      </c>
      <c r="M57" s="36">
        <v>485</v>
      </c>
      <c r="O57" s="49">
        <v>8</v>
      </c>
      <c r="P57" s="49" t="str">
        <f t="shared" si="11"/>
        <v>CAJA 2</v>
      </c>
      <c r="Q57" s="49" t="str">
        <f t="shared" si="9"/>
        <v>CAJA 3</v>
      </c>
      <c r="R57" s="49" t="str">
        <f t="shared" si="9"/>
        <v>CAJA 3</v>
      </c>
      <c r="S57" s="49" t="str">
        <f t="shared" si="9"/>
        <v>CAJA 3</v>
      </c>
      <c r="T57" s="49" t="str">
        <f t="shared" si="9"/>
        <v>CAJA 3</v>
      </c>
      <c r="V57" s="49">
        <v>8</v>
      </c>
      <c r="W57" s="49" t="str">
        <f t="shared" si="12"/>
        <v>CAJA 3</v>
      </c>
      <c r="X57" s="49" t="str">
        <f t="shared" si="10"/>
        <v>CAJA 3</v>
      </c>
      <c r="Y57" s="49" t="str">
        <f t="shared" si="10"/>
        <v>CAJA 4</v>
      </c>
      <c r="Z57" s="49" t="str">
        <f t="shared" si="10"/>
        <v>CAJA 4</v>
      </c>
      <c r="AA57" s="49" t="str">
        <f t="shared" si="10"/>
        <v>CAJA 4</v>
      </c>
    </row>
    <row r="58" spans="1:27" x14ac:dyDescent="0.55000000000000004">
      <c r="A58" s="49">
        <v>6</v>
      </c>
      <c r="B58" s="98">
        <v>219.07499999999999</v>
      </c>
      <c r="C58" s="98">
        <v>247.64999999999998</v>
      </c>
      <c r="D58" s="98">
        <v>263.52499999999998</v>
      </c>
      <c r="E58" s="98">
        <v>285.75</v>
      </c>
      <c r="F58" s="62">
        <v>279.39999999999998</v>
      </c>
      <c r="H58" s="49">
        <v>6</v>
      </c>
      <c r="I58" s="49">
        <v>280</v>
      </c>
      <c r="J58" s="49">
        <v>320</v>
      </c>
      <c r="K58" s="49">
        <v>355</v>
      </c>
      <c r="L58" s="49">
        <v>380</v>
      </c>
      <c r="M58" s="36">
        <v>395</v>
      </c>
      <c r="O58" s="49">
        <v>6</v>
      </c>
      <c r="P58" s="49" t="str">
        <f t="shared" si="11"/>
        <v>CAJA 2</v>
      </c>
      <c r="Q58" s="49" t="str">
        <f t="shared" si="9"/>
        <v>CAJA 2</v>
      </c>
      <c r="R58" s="49" t="str">
        <f t="shared" si="9"/>
        <v>CAJA 2</v>
      </c>
      <c r="S58" s="49" t="str">
        <f t="shared" si="9"/>
        <v>CAJA 2</v>
      </c>
      <c r="T58" s="49" t="str">
        <f t="shared" si="9"/>
        <v>CAJA 2</v>
      </c>
      <c r="V58" s="49">
        <v>6</v>
      </c>
      <c r="W58" s="49" t="str">
        <f t="shared" si="12"/>
        <v>CAJA 2</v>
      </c>
      <c r="X58" s="49" t="str">
        <f t="shared" si="10"/>
        <v>CAJA 3</v>
      </c>
      <c r="Y58" s="49" t="str">
        <f t="shared" si="10"/>
        <v>CAJA 3</v>
      </c>
      <c r="Z58" s="49" t="str">
        <f t="shared" si="10"/>
        <v>CAJA 3</v>
      </c>
      <c r="AA58" s="49" t="str">
        <f t="shared" si="10"/>
        <v>CAJA 3</v>
      </c>
    </row>
    <row r="59" spans="1:27" x14ac:dyDescent="0.55000000000000004">
      <c r="A59" s="49">
        <v>5</v>
      </c>
      <c r="B59" s="98">
        <v>193.67499999999998</v>
      </c>
      <c r="C59" s="98">
        <v>212.72499999999999</v>
      </c>
      <c r="D59" s="98">
        <v>238.125</v>
      </c>
      <c r="E59" s="98">
        <v>244.47499999999999</v>
      </c>
      <c r="F59" s="62">
        <v>250.82499999999999</v>
      </c>
      <c r="H59" s="49">
        <v>5</v>
      </c>
      <c r="I59" s="49">
        <v>255</v>
      </c>
      <c r="J59" s="49">
        <v>280</v>
      </c>
      <c r="K59" s="49">
        <v>330</v>
      </c>
      <c r="L59" s="49">
        <v>350</v>
      </c>
      <c r="M59" s="36">
        <v>375</v>
      </c>
      <c r="O59" s="49">
        <v>5</v>
      </c>
      <c r="P59" s="49" t="str">
        <f t="shared" si="11"/>
        <v>CAJA 1</v>
      </c>
      <c r="Q59" s="49" t="str">
        <f t="shared" si="9"/>
        <v>CAJA 2</v>
      </c>
      <c r="R59" s="49" t="str">
        <f t="shared" si="9"/>
        <v>CAJA 2</v>
      </c>
      <c r="S59" s="49" t="str">
        <f t="shared" si="9"/>
        <v>CAJA 2</v>
      </c>
      <c r="T59" s="49" t="str">
        <f t="shared" si="9"/>
        <v>CAJA 2</v>
      </c>
      <c r="V59" s="49">
        <v>5</v>
      </c>
      <c r="W59" s="49" t="str">
        <f t="shared" si="12"/>
        <v>CAJA 2</v>
      </c>
      <c r="X59" s="49" t="str">
        <f t="shared" si="10"/>
        <v>CAJA 2</v>
      </c>
      <c r="Y59" s="49" t="str">
        <f t="shared" si="10"/>
        <v>CAJA 3</v>
      </c>
      <c r="Z59" s="49" t="str">
        <f t="shared" si="10"/>
        <v>CAJA 3</v>
      </c>
      <c r="AA59" s="49" t="str">
        <f t="shared" si="10"/>
        <v>CAJA 3</v>
      </c>
    </row>
    <row r="60" spans="1:27" x14ac:dyDescent="0.55000000000000004">
      <c r="A60" s="49">
        <v>4</v>
      </c>
      <c r="B60" s="98">
        <v>171.45</v>
      </c>
      <c r="C60" s="98">
        <v>177.79999999999998</v>
      </c>
      <c r="D60" s="98">
        <v>190.5</v>
      </c>
      <c r="E60" s="98">
        <v>203.2</v>
      </c>
      <c r="F60" s="62">
        <v>206.375</v>
      </c>
      <c r="H60" s="49">
        <v>4</v>
      </c>
      <c r="I60" s="49">
        <v>230</v>
      </c>
      <c r="J60" s="49">
        <v>255</v>
      </c>
      <c r="K60" s="49">
        <v>275</v>
      </c>
      <c r="L60" s="49">
        <v>290</v>
      </c>
      <c r="M60" s="36">
        <v>310</v>
      </c>
      <c r="O60" s="49">
        <v>4</v>
      </c>
      <c r="P60" s="49" t="str">
        <f t="shared" si="11"/>
        <v>CAJA 1</v>
      </c>
      <c r="Q60" s="49" t="str">
        <f t="shared" si="9"/>
        <v>CAJA 1</v>
      </c>
      <c r="R60" s="49" t="str">
        <f t="shared" si="9"/>
        <v>CAJA 1</v>
      </c>
      <c r="S60" s="49" t="str">
        <f t="shared" si="9"/>
        <v>CAJA 2</v>
      </c>
      <c r="T60" s="49" t="str">
        <f t="shared" si="9"/>
        <v>CAJA 2</v>
      </c>
      <c r="V60" s="49">
        <v>4</v>
      </c>
      <c r="W60" s="49" t="str">
        <f t="shared" si="12"/>
        <v>CAJA 2</v>
      </c>
      <c r="X60" s="49" t="str">
        <f t="shared" si="10"/>
        <v>CAJA 2</v>
      </c>
      <c r="Y60" s="49" t="str">
        <f t="shared" si="10"/>
        <v>CAJA 2</v>
      </c>
      <c r="Z60" s="49" t="str">
        <f t="shared" si="10"/>
        <v>CAJA 2</v>
      </c>
      <c r="AA60" s="49" t="str">
        <f t="shared" si="10"/>
        <v>CAJA 3</v>
      </c>
    </row>
    <row r="61" spans="1:27" x14ac:dyDescent="0.55000000000000004">
      <c r="A61" s="49">
        <v>3</v>
      </c>
      <c r="B61" s="98">
        <v>133.35</v>
      </c>
      <c r="C61" s="98">
        <v>146.04999999999998</v>
      </c>
      <c r="D61" s="98">
        <v>146.04999999999998</v>
      </c>
      <c r="E61" s="98">
        <v>165.1</v>
      </c>
      <c r="F61" s="62">
        <v>171.45</v>
      </c>
      <c r="H61" s="49">
        <v>3</v>
      </c>
      <c r="I61" s="49">
        <v>190</v>
      </c>
      <c r="J61" s="49">
        <v>210</v>
      </c>
      <c r="K61" s="49">
        <v>210</v>
      </c>
      <c r="L61" s="49">
        <v>240</v>
      </c>
      <c r="M61" s="36">
        <v>265</v>
      </c>
      <c r="O61" s="49">
        <v>3</v>
      </c>
      <c r="P61" s="49" t="str">
        <f t="shared" si="11"/>
        <v>CAJA 1</v>
      </c>
      <c r="Q61" s="49" t="str">
        <f t="shared" si="9"/>
        <v>CAJA 1</v>
      </c>
      <c r="R61" s="49" t="str">
        <f t="shared" si="9"/>
        <v>CAJA 1</v>
      </c>
      <c r="S61" s="49" t="str">
        <f t="shared" si="9"/>
        <v>CAJA 1</v>
      </c>
      <c r="T61" s="49" t="str">
        <f t="shared" si="9"/>
        <v>CAJA 1</v>
      </c>
      <c r="V61" s="49">
        <v>3</v>
      </c>
      <c r="W61" s="49" t="str">
        <f t="shared" si="12"/>
        <v>CAJA 1</v>
      </c>
      <c r="X61" s="49" t="str">
        <f t="shared" si="10"/>
        <v>CAJA 2</v>
      </c>
      <c r="Y61" s="49" t="str">
        <f t="shared" si="10"/>
        <v>CAJA 2</v>
      </c>
      <c r="Z61" s="49" t="str">
        <f t="shared" si="10"/>
        <v>CAJA 2</v>
      </c>
      <c r="AA61" s="49" t="str">
        <f t="shared" si="10"/>
        <v>CAJA 2</v>
      </c>
    </row>
    <row r="62" spans="1:27" x14ac:dyDescent="0.55000000000000004">
      <c r="A62" s="49">
        <v>2.5</v>
      </c>
      <c r="B62" s="98">
        <v>120.64999999999999</v>
      </c>
      <c r="C62" s="98">
        <v>127</v>
      </c>
      <c r="D62" s="98">
        <v>127</v>
      </c>
      <c r="E62" s="98">
        <v>161.92499999999998</v>
      </c>
      <c r="F62" s="62">
        <v>161.92499999999998</v>
      </c>
      <c r="H62" s="49">
        <v>2.5</v>
      </c>
      <c r="I62" s="49">
        <v>180</v>
      </c>
      <c r="J62" s="49">
        <v>190</v>
      </c>
      <c r="K62" s="49">
        <v>190</v>
      </c>
      <c r="L62" s="49">
        <v>245</v>
      </c>
      <c r="M62" s="36">
        <v>245</v>
      </c>
      <c r="O62" s="49">
        <v>2.5</v>
      </c>
      <c r="P62" s="49" t="str">
        <f t="shared" si="11"/>
        <v>CAJA 1</v>
      </c>
      <c r="Q62" s="49" t="str">
        <f t="shared" si="9"/>
        <v>CAJA 1</v>
      </c>
      <c r="R62" s="49" t="str">
        <f t="shared" si="9"/>
        <v>CAJA 1</v>
      </c>
      <c r="S62" s="49" t="str">
        <f t="shared" si="9"/>
        <v>CAJA 1</v>
      </c>
      <c r="T62" s="49" t="str">
        <f t="shared" si="9"/>
        <v>CAJA 1</v>
      </c>
      <c r="V62" s="49">
        <v>2.5</v>
      </c>
      <c r="W62" s="49" t="str">
        <f t="shared" si="12"/>
        <v>CAJA 1</v>
      </c>
      <c r="X62" s="49" t="str">
        <f t="shared" si="10"/>
        <v>CAJA 1</v>
      </c>
      <c r="Y62" s="49" t="str">
        <f t="shared" si="10"/>
        <v>CAJA 1</v>
      </c>
      <c r="Z62" s="49" t="str">
        <f t="shared" si="10"/>
        <v>CAJA 2</v>
      </c>
      <c r="AA62" s="49" t="str">
        <f t="shared" si="10"/>
        <v>CAJA 2</v>
      </c>
    </row>
    <row r="63" spans="1:27" x14ac:dyDescent="0.55000000000000004">
      <c r="A63" s="49">
        <v>2</v>
      </c>
      <c r="B63" s="98">
        <v>101.6</v>
      </c>
      <c r="C63" s="98">
        <v>107.94999999999999</v>
      </c>
      <c r="D63" s="98">
        <v>107.94999999999999</v>
      </c>
      <c r="E63" s="98">
        <v>139.69999999999999</v>
      </c>
      <c r="F63" s="62">
        <v>139.69999999999999</v>
      </c>
      <c r="H63" s="49">
        <v>2</v>
      </c>
      <c r="I63" s="49">
        <v>150</v>
      </c>
      <c r="J63" s="49">
        <v>165</v>
      </c>
      <c r="K63" s="49">
        <v>165</v>
      </c>
      <c r="L63" s="49">
        <v>215</v>
      </c>
      <c r="M63" s="36">
        <v>215</v>
      </c>
      <c r="O63" s="49">
        <v>2</v>
      </c>
      <c r="P63" s="49" t="str">
        <f t="shared" si="11"/>
        <v>CAJA 1</v>
      </c>
      <c r="Q63" s="49" t="str">
        <f t="shared" si="9"/>
        <v>CAJA 1</v>
      </c>
      <c r="R63" s="49" t="str">
        <f t="shared" si="9"/>
        <v>CAJA 1</v>
      </c>
      <c r="S63" s="49" t="str">
        <f t="shared" si="9"/>
        <v>CAJA 1</v>
      </c>
      <c r="T63" s="49" t="str">
        <f t="shared" si="9"/>
        <v>CAJA 1</v>
      </c>
      <c r="V63" s="49">
        <v>2</v>
      </c>
      <c r="W63" s="49" t="str">
        <f t="shared" si="12"/>
        <v>CAJA 1</v>
      </c>
      <c r="X63" s="49" t="str">
        <f t="shared" si="10"/>
        <v>CAJA 1</v>
      </c>
      <c r="Y63" s="49" t="str">
        <f t="shared" si="10"/>
        <v>CAJA 1</v>
      </c>
      <c r="Z63" s="49" t="str">
        <f t="shared" si="10"/>
        <v>CAJA 2</v>
      </c>
      <c r="AA63" s="49" t="str">
        <f t="shared" si="10"/>
        <v>CAJA 2</v>
      </c>
    </row>
    <row r="64" spans="1:27" x14ac:dyDescent="0.55000000000000004">
      <c r="A64" s="49">
        <v>1.5</v>
      </c>
      <c r="B64" s="98">
        <v>83.82</v>
      </c>
      <c r="C64" s="98">
        <v>93.344999999999999</v>
      </c>
      <c r="D64" s="98">
        <v>93.344999999999985</v>
      </c>
      <c r="E64" s="98">
        <v>96.52</v>
      </c>
      <c r="F64" s="62">
        <v>96.52</v>
      </c>
      <c r="H64" s="49">
        <v>1.5</v>
      </c>
      <c r="I64" s="49">
        <v>125</v>
      </c>
      <c r="J64" s="49">
        <v>155</v>
      </c>
      <c r="K64" s="49">
        <v>155</v>
      </c>
      <c r="L64" s="49">
        <v>180</v>
      </c>
      <c r="M64" s="36">
        <v>180</v>
      </c>
      <c r="O64" s="49">
        <v>1.5</v>
      </c>
      <c r="P64" s="49" t="str">
        <f t="shared" si="11"/>
        <v>CAJA 1</v>
      </c>
      <c r="Q64" s="49" t="str">
        <f t="shared" si="9"/>
        <v>CAJA 1</v>
      </c>
      <c r="R64" s="49" t="str">
        <f t="shared" si="9"/>
        <v>CAJA 1</v>
      </c>
      <c r="S64" s="49" t="str">
        <f t="shared" si="9"/>
        <v>CAJA 1</v>
      </c>
      <c r="T64" s="49" t="str">
        <f t="shared" si="9"/>
        <v>CAJA 1</v>
      </c>
      <c r="V64" s="49">
        <v>1.5</v>
      </c>
      <c r="W64" s="49" t="str">
        <f t="shared" si="12"/>
        <v>CAJA 1</v>
      </c>
      <c r="X64" s="49" t="str">
        <f t="shared" si="10"/>
        <v>CAJA 1</v>
      </c>
      <c r="Y64" s="49" t="str">
        <f t="shared" si="10"/>
        <v>CAJA 1</v>
      </c>
      <c r="Z64" s="49" t="str">
        <f t="shared" si="10"/>
        <v>CAJA 1</v>
      </c>
      <c r="AA64" s="49" t="str">
        <f t="shared" si="10"/>
        <v>CAJA 1</v>
      </c>
    </row>
    <row r="65" spans="1:27" x14ac:dyDescent="0.55000000000000004">
      <c r="A65" s="49">
        <v>1.25</v>
      </c>
      <c r="B65" s="98">
        <v>74.167999999999992</v>
      </c>
      <c r="C65" s="98">
        <v>80.644999999999996</v>
      </c>
      <c r="D65" s="98">
        <v>80.644999999999996</v>
      </c>
      <c r="E65" s="98">
        <v>86.99499999999999</v>
      </c>
      <c r="F65" s="62">
        <v>86.99499999999999</v>
      </c>
      <c r="H65" s="49">
        <v>1.25</v>
      </c>
      <c r="I65" s="49">
        <v>115</v>
      </c>
      <c r="J65" s="49">
        <v>135</v>
      </c>
      <c r="K65" s="49">
        <v>135</v>
      </c>
      <c r="L65" s="49">
        <v>160</v>
      </c>
      <c r="M65" s="36">
        <v>160</v>
      </c>
      <c r="O65" s="49">
        <v>1.25</v>
      </c>
      <c r="P65" s="49" t="str">
        <f t="shared" si="11"/>
        <v>CAJA 1</v>
      </c>
      <c r="Q65" s="49" t="str">
        <f t="shared" si="9"/>
        <v>CAJA 1</v>
      </c>
      <c r="R65" s="49" t="str">
        <f t="shared" si="9"/>
        <v>CAJA 1</v>
      </c>
      <c r="S65" s="49" t="str">
        <f t="shared" si="9"/>
        <v>CAJA 1</v>
      </c>
      <c r="T65" s="49" t="str">
        <f t="shared" si="9"/>
        <v>CAJA 1</v>
      </c>
      <c r="V65" s="49">
        <v>1.25</v>
      </c>
      <c r="W65" s="49" t="str">
        <f t="shared" si="12"/>
        <v>CAJA 1</v>
      </c>
      <c r="X65" s="49" t="str">
        <f t="shared" si="10"/>
        <v>CAJA 1</v>
      </c>
      <c r="Y65" s="49" t="str">
        <f t="shared" si="10"/>
        <v>CAJA 1</v>
      </c>
      <c r="Z65" s="49" t="str">
        <f t="shared" si="10"/>
        <v>CAJA 1</v>
      </c>
      <c r="AA65" s="49" t="str">
        <f t="shared" si="10"/>
        <v>CAJA 1</v>
      </c>
    </row>
    <row r="66" spans="1:27" x14ac:dyDescent="0.55000000000000004">
      <c r="A66" s="49">
        <v>1</v>
      </c>
      <c r="B66" s="98">
        <v>64.77</v>
      </c>
      <c r="C66" s="98">
        <v>71.11999999999999</v>
      </c>
      <c r="D66" s="98">
        <v>71.11999999999999</v>
      </c>
      <c r="E66" s="98">
        <v>77.469999999999985</v>
      </c>
      <c r="F66" s="62">
        <v>77.469999999999985</v>
      </c>
      <c r="H66" s="49">
        <v>1</v>
      </c>
      <c r="I66" s="49">
        <v>110</v>
      </c>
      <c r="J66" s="49">
        <v>125</v>
      </c>
      <c r="K66" s="49">
        <v>125</v>
      </c>
      <c r="L66" s="49">
        <v>150</v>
      </c>
      <c r="M66" s="36">
        <v>150</v>
      </c>
      <c r="O66" s="49">
        <v>1</v>
      </c>
      <c r="P66" s="49" t="str">
        <f t="shared" si="11"/>
        <v>CAJA 1</v>
      </c>
      <c r="Q66" s="49" t="str">
        <f t="shared" si="11"/>
        <v>CAJA 1</v>
      </c>
      <c r="R66" s="49" t="str">
        <f t="shared" si="11"/>
        <v>CAJA 1</v>
      </c>
      <c r="S66" s="49" t="str">
        <f t="shared" si="11"/>
        <v>CAJA 1</v>
      </c>
      <c r="T66" s="49" t="str">
        <f t="shared" si="11"/>
        <v>CAJA 1</v>
      </c>
      <c r="V66" s="49">
        <v>1</v>
      </c>
      <c r="W66" s="49" t="str">
        <f t="shared" si="12"/>
        <v>CAJA 1</v>
      </c>
      <c r="X66" s="49" t="str">
        <f t="shared" si="10"/>
        <v>CAJA 1</v>
      </c>
      <c r="Y66" s="49" t="str">
        <f t="shared" si="10"/>
        <v>CAJA 1</v>
      </c>
      <c r="Z66" s="49" t="str">
        <f t="shared" si="10"/>
        <v>CAJA 1</v>
      </c>
      <c r="AA66" s="49" t="str">
        <f t="shared" si="10"/>
        <v>CAJA 1</v>
      </c>
    </row>
    <row r="67" spans="1:27" x14ac:dyDescent="0.55000000000000004">
      <c r="A67" s="49">
        <v>0.75</v>
      </c>
      <c r="B67" s="98">
        <v>55.24499999999999</v>
      </c>
      <c r="C67" s="98">
        <v>64.77</v>
      </c>
      <c r="D67" s="98">
        <v>64.77</v>
      </c>
      <c r="E67" s="98">
        <v>67.944999999999993</v>
      </c>
      <c r="F67" s="62">
        <v>67.944999999999993</v>
      </c>
      <c r="H67" s="49">
        <v>0.75</v>
      </c>
      <c r="I67" s="49">
        <v>100</v>
      </c>
      <c r="J67" s="49">
        <v>115</v>
      </c>
      <c r="K67" s="49">
        <v>115</v>
      </c>
      <c r="L67" s="49">
        <v>130</v>
      </c>
      <c r="M67" s="36">
        <v>130</v>
      </c>
      <c r="O67" s="49">
        <v>0.75</v>
      </c>
      <c r="P67" s="49" t="str">
        <f t="shared" si="11"/>
        <v>CAJA 1</v>
      </c>
      <c r="Q67" s="49" t="str">
        <f t="shared" si="11"/>
        <v>CAJA 1</v>
      </c>
      <c r="R67" s="49" t="str">
        <f t="shared" si="11"/>
        <v>CAJA 1</v>
      </c>
      <c r="S67" s="49" t="str">
        <f t="shared" si="11"/>
        <v>CAJA 1</v>
      </c>
      <c r="T67" s="49" t="str">
        <f t="shared" si="11"/>
        <v>CAJA 1</v>
      </c>
      <c r="V67" s="49">
        <v>0.75</v>
      </c>
      <c r="W67" s="49" t="str">
        <f t="shared" si="12"/>
        <v>CAJA 1</v>
      </c>
      <c r="X67" s="49" t="str">
        <f t="shared" si="10"/>
        <v>CAJA 1</v>
      </c>
      <c r="Y67" s="49" t="str">
        <f t="shared" si="10"/>
        <v>CAJA 1</v>
      </c>
      <c r="Z67" s="49" t="str">
        <f t="shared" si="10"/>
        <v>CAJA 1</v>
      </c>
      <c r="AA67" s="49" t="str">
        <f t="shared" si="10"/>
        <v>CAJA 1</v>
      </c>
    </row>
    <row r="68" spans="1:27" x14ac:dyDescent="0.55000000000000004">
      <c r="A68" s="49">
        <v>0.5</v>
      </c>
      <c r="B68" s="98">
        <v>45.72</v>
      </c>
      <c r="C68" s="98">
        <v>52.069999999999993</v>
      </c>
      <c r="D68" s="98">
        <v>52.069999999999993</v>
      </c>
      <c r="E68" s="98">
        <v>61.594999999999992</v>
      </c>
      <c r="F68" s="62">
        <v>61.594999999999992</v>
      </c>
      <c r="H68" s="49">
        <v>0.5</v>
      </c>
      <c r="I68" s="49">
        <v>90</v>
      </c>
      <c r="J68" s="53">
        <v>95</v>
      </c>
      <c r="K68" s="49">
        <v>95</v>
      </c>
      <c r="L68" s="49">
        <v>120</v>
      </c>
      <c r="M68" s="36">
        <v>120</v>
      </c>
      <c r="O68" s="49">
        <v>0.5</v>
      </c>
      <c r="P68" s="49" t="str">
        <f t="shared" si="11"/>
        <v>CAJA 1</v>
      </c>
      <c r="Q68" s="49" t="str">
        <f t="shared" si="11"/>
        <v>CAJA 1</v>
      </c>
      <c r="R68" s="49" t="str">
        <f t="shared" si="11"/>
        <v>CAJA 1</v>
      </c>
      <c r="S68" s="49" t="str">
        <f t="shared" si="11"/>
        <v>CAJA 1</v>
      </c>
      <c r="T68" s="49" t="str">
        <f t="shared" si="11"/>
        <v>CAJA 1</v>
      </c>
      <c r="V68" s="49">
        <v>0.5</v>
      </c>
      <c r="W68" s="49" t="str">
        <f t="shared" si="12"/>
        <v>CAJA 1</v>
      </c>
      <c r="X68" s="49" t="str">
        <f t="shared" si="10"/>
        <v>CAJA 1</v>
      </c>
      <c r="Y68" s="49" t="str">
        <f t="shared" si="10"/>
        <v>CAJA 1</v>
      </c>
      <c r="Z68" s="49" t="str">
        <f t="shared" si="10"/>
        <v>CAJA 1</v>
      </c>
      <c r="AA68" s="49" t="str">
        <f t="shared" si="10"/>
        <v>CAJA 1</v>
      </c>
    </row>
    <row r="70" spans="1:27" x14ac:dyDescent="0.55000000000000004">
      <c r="A70" s="93" t="s">
        <v>473</v>
      </c>
      <c r="B70" s="93"/>
      <c r="C70" s="93"/>
      <c r="D70" s="93"/>
    </row>
    <row r="71" spans="1:27" x14ac:dyDescent="0.55000000000000004">
      <c r="A71" s="56" t="s">
        <v>107</v>
      </c>
      <c r="B71" s="56" t="s">
        <v>428</v>
      </c>
      <c r="C71" s="56" t="s">
        <v>429</v>
      </c>
      <c r="D71" s="56" t="s">
        <v>430</v>
      </c>
    </row>
    <row r="72" spans="1:27" x14ac:dyDescent="0.55000000000000004">
      <c r="A72" s="36" t="s">
        <v>520</v>
      </c>
      <c r="B72" s="36">
        <v>200</v>
      </c>
      <c r="C72" s="36">
        <v>60</v>
      </c>
      <c r="D72" s="36">
        <v>200</v>
      </c>
    </row>
    <row r="73" spans="1:27" x14ac:dyDescent="0.55000000000000004">
      <c r="A73" s="36" t="s">
        <v>521</v>
      </c>
      <c r="B73" s="36">
        <v>300</v>
      </c>
      <c r="C73" s="36">
        <v>60</v>
      </c>
      <c r="D73" s="36">
        <v>300</v>
      </c>
      <c r="J73" s="63">
        <f>LOOKUP(A74,A72:A78,C72:C78)</f>
        <v>60</v>
      </c>
    </row>
    <row r="74" spans="1:27" x14ac:dyDescent="0.55000000000000004">
      <c r="A74" s="36" t="s">
        <v>522</v>
      </c>
      <c r="B74" s="36">
        <v>400</v>
      </c>
      <c r="C74" s="36">
        <v>60</v>
      </c>
      <c r="D74" s="36">
        <v>400</v>
      </c>
    </row>
    <row r="75" spans="1:27" x14ac:dyDescent="0.55000000000000004">
      <c r="A75" s="36" t="s">
        <v>523</v>
      </c>
      <c r="B75" s="36">
        <v>600</v>
      </c>
      <c r="C75" s="36">
        <v>60</v>
      </c>
      <c r="D75" s="36">
        <v>600</v>
      </c>
    </row>
    <row r="76" spans="1:27" x14ac:dyDescent="0.55000000000000004">
      <c r="A76" s="36" t="s">
        <v>524</v>
      </c>
      <c r="B76" s="36">
        <v>800</v>
      </c>
      <c r="C76" s="36">
        <v>100</v>
      </c>
      <c r="D76" s="36">
        <v>800</v>
      </c>
    </row>
    <row r="77" spans="1:27" x14ac:dyDescent="0.55000000000000004">
      <c r="A77" s="36" t="s">
        <v>525</v>
      </c>
      <c r="B77" s="36">
        <v>1000</v>
      </c>
      <c r="C77" s="36">
        <v>120</v>
      </c>
      <c r="D77" s="36">
        <v>1000</v>
      </c>
    </row>
    <row r="78" spans="1:27" x14ac:dyDescent="0.55000000000000004">
      <c r="A78" s="36" t="s">
        <v>526</v>
      </c>
      <c r="B78" s="36">
        <v>1200</v>
      </c>
      <c r="C78" s="36">
        <v>120</v>
      </c>
      <c r="D78" s="36">
        <v>1200</v>
      </c>
    </row>
  </sheetData>
  <mergeCells count="43">
    <mergeCell ref="V48:V49"/>
    <mergeCell ref="W48:AA48"/>
    <mergeCell ref="A70:D70"/>
    <mergeCell ref="A47:F47"/>
    <mergeCell ref="H47:M47"/>
    <mergeCell ref="O47:T47"/>
    <mergeCell ref="V47:AA47"/>
    <mergeCell ref="A48:A49"/>
    <mergeCell ref="B48:F48"/>
    <mergeCell ref="H48:H49"/>
    <mergeCell ref="I48:M48"/>
    <mergeCell ref="O48:O49"/>
    <mergeCell ref="P48:T48"/>
    <mergeCell ref="A25:A26"/>
    <mergeCell ref="B25:F25"/>
    <mergeCell ref="H25:H26"/>
    <mergeCell ref="I25:M25"/>
    <mergeCell ref="O25:O26"/>
    <mergeCell ref="P25:T25"/>
    <mergeCell ref="AD2:AH2"/>
    <mergeCell ref="AJ2:AJ3"/>
    <mergeCell ref="AK2:AO2"/>
    <mergeCell ref="AQ2:AQ3"/>
    <mergeCell ref="AR2:AV2"/>
    <mergeCell ref="A24:F24"/>
    <mergeCell ref="H24:M24"/>
    <mergeCell ref="O24:T24"/>
    <mergeCell ref="AQ1:AV1"/>
    <mergeCell ref="A2:A3"/>
    <mergeCell ref="B2:F2"/>
    <mergeCell ref="H2:H3"/>
    <mergeCell ref="I2:M2"/>
    <mergeCell ref="O2:O3"/>
    <mergeCell ref="P2:T2"/>
    <mergeCell ref="V2:V3"/>
    <mergeCell ref="W2:AA2"/>
    <mergeCell ref="AC2:AC3"/>
    <mergeCell ref="A1:F1"/>
    <mergeCell ref="H1:M1"/>
    <mergeCell ref="O1:T1"/>
    <mergeCell ref="V1:AA1"/>
    <mergeCell ref="AC1:AH1"/>
    <mergeCell ref="AJ1:AO1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F37"/>
  <sheetViews>
    <sheetView topLeftCell="R1" zoomScale="85" zoomScaleNormal="85" workbookViewId="0">
      <selection activeCell="X2" sqref="X2:AB22"/>
    </sheetView>
  </sheetViews>
  <sheetFormatPr baseColWidth="10" defaultRowHeight="14.4" x14ac:dyDescent="0.55000000000000004"/>
  <cols>
    <col min="1" max="1" width="16.68359375" style="47" bestFit="1" customWidth="1"/>
    <col min="2" max="4" width="5.9453125" style="47" bestFit="1" customWidth="1"/>
    <col min="5" max="5" width="11.20703125" style="47" bestFit="1" customWidth="1"/>
    <col min="6" max="6" width="11.5234375" bestFit="1" customWidth="1"/>
    <col min="7" max="7" width="11.83984375" bestFit="1" customWidth="1"/>
    <col min="8" max="10" width="5.9453125" bestFit="1" customWidth="1"/>
    <col min="11" max="13" width="10.1015625" style="47" customWidth="1"/>
    <col min="14" max="14" width="1.41796875" customWidth="1"/>
    <col min="15" max="16" width="11.7890625" style="59" customWidth="1"/>
    <col min="17" max="17" width="1.83984375" customWidth="1"/>
    <col min="18" max="18" width="7.83984375" bestFit="1" customWidth="1"/>
    <col min="19" max="19" width="4" bestFit="1" customWidth="1"/>
    <col min="20" max="20" width="6.578125" bestFit="1" customWidth="1"/>
    <col min="21" max="22" width="4" bestFit="1" customWidth="1"/>
    <col min="23" max="23" width="1.26171875" customWidth="1"/>
    <col min="24" max="24" width="7.83984375" bestFit="1" customWidth="1"/>
    <col min="25" max="27" width="4" bestFit="1" customWidth="1"/>
    <col min="28" max="28" width="5" bestFit="1" customWidth="1"/>
    <col min="29" max="29" width="1.26171875" customWidth="1"/>
    <col min="30" max="30" width="7.83984375" bestFit="1" customWidth="1"/>
    <col min="31" max="34" width="5.578125" bestFit="1" customWidth="1"/>
    <col min="35" max="35" width="1.578125" customWidth="1"/>
    <col min="36" max="36" width="7.83984375" bestFit="1" customWidth="1"/>
    <col min="37" max="38" width="5.578125" bestFit="1" customWidth="1"/>
    <col min="39" max="40" width="5.578125" customWidth="1"/>
    <col min="41" max="41" width="1.41796875" customWidth="1"/>
    <col min="42" max="42" width="7.83984375" bestFit="1" customWidth="1"/>
    <col min="43" max="46" width="4.9453125" customWidth="1"/>
    <col min="47" max="47" width="1.578125" customWidth="1"/>
    <col min="48" max="48" width="7.83984375" bestFit="1" customWidth="1"/>
    <col min="49" max="52" width="4.89453125" customWidth="1"/>
    <col min="53" max="53" width="1.68359375" customWidth="1"/>
    <col min="54" max="54" width="7.83984375" bestFit="1" customWidth="1"/>
    <col min="55" max="58" width="4.734375" customWidth="1"/>
  </cols>
  <sheetData>
    <row r="1" spans="1:58" x14ac:dyDescent="0.55000000000000004">
      <c r="A1" s="70" t="s">
        <v>485</v>
      </c>
      <c r="B1" s="71"/>
      <c r="C1" s="71"/>
      <c r="D1" s="71"/>
      <c r="E1" s="71"/>
      <c r="F1" s="71"/>
      <c r="G1" s="72"/>
      <c r="H1" s="70" t="s">
        <v>486</v>
      </c>
      <c r="I1" s="71"/>
      <c r="J1" s="72"/>
      <c r="K1" s="70" t="s">
        <v>487</v>
      </c>
      <c r="L1" s="71"/>
      <c r="M1" s="72"/>
      <c r="O1" s="70" t="s">
        <v>488</v>
      </c>
      <c r="P1" s="72"/>
      <c r="R1" s="70" t="s">
        <v>489</v>
      </c>
      <c r="S1" s="71"/>
      <c r="T1" s="71"/>
      <c r="U1" s="71"/>
      <c r="V1" s="72"/>
      <c r="X1" s="70" t="s">
        <v>490</v>
      </c>
      <c r="Y1" s="71"/>
      <c r="Z1" s="71"/>
      <c r="AA1" s="71"/>
      <c r="AB1" s="72"/>
      <c r="AD1" s="70" t="s">
        <v>491</v>
      </c>
      <c r="AE1" s="71"/>
      <c r="AF1" s="71"/>
      <c r="AG1" s="71"/>
      <c r="AH1" s="72"/>
      <c r="AJ1" s="70" t="s">
        <v>492</v>
      </c>
      <c r="AK1" s="71"/>
      <c r="AL1" s="71"/>
      <c r="AM1" s="71"/>
      <c r="AN1" s="72"/>
      <c r="AP1" s="73" t="s">
        <v>493</v>
      </c>
      <c r="AQ1" s="74"/>
      <c r="AR1" s="74"/>
      <c r="AS1" s="74"/>
      <c r="AT1" s="75"/>
      <c r="AV1" s="73" t="s">
        <v>494</v>
      </c>
      <c r="AW1" s="74"/>
      <c r="AX1" s="74"/>
      <c r="AY1" s="74"/>
      <c r="AZ1" s="75"/>
      <c r="BB1" s="73" t="s">
        <v>495</v>
      </c>
      <c r="BC1" s="74"/>
      <c r="BD1" s="74"/>
      <c r="BE1" s="74"/>
      <c r="BF1" s="75"/>
    </row>
    <row r="2" spans="1:58" x14ac:dyDescent="0.55000000000000004">
      <c r="A2" s="46" t="s">
        <v>105</v>
      </c>
      <c r="B2" s="57">
        <v>3.125E-2</v>
      </c>
      <c r="C2" s="57">
        <v>6.25E-2</v>
      </c>
      <c r="D2" s="57">
        <v>0.125</v>
      </c>
      <c r="E2" s="56" t="s">
        <v>496</v>
      </c>
      <c r="F2" s="56" t="s">
        <v>497</v>
      </c>
      <c r="G2" s="56" t="s">
        <v>498</v>
      </c>
      <c r="H2" s="57">
        <v>3.125E-2</v>
      </c>
      <c r="I2" s="57">
        <v>6.25E-2</v>
      </c>
      <c r="J2" s="57">
        <v>0.125</v>
      </c>
      <c r="K2" s="57">
        <v>3.125E-2</v>
      </c>
      <c r="L2" s="57">
        <v>6.25E-2</v>
      </c>
      <c r="M2" s="57">
        <v>0.125</v>
      </c>
      <c r="O2" s="76" t="s">
        <v>108</v>
      </c>
      <c r="P2" s="76" t="s">
        <v>441</v>
      </c>
      <c r="R2" s="76" t="s">
        <v>108</v>
      </c>
      <c r="S2" s="78" t="s">
        <v>381</v>
      </c>
      <c r="T2" s="79"/>
      <c r="U2" s="79"/>
      <c r="V2" s="80"/>
      <c r="X2" s="76" t="s">
        <v>108</v>
      </c>
      <c r="Y2" s="78" t="s">
        <v>381</v>
      </c>
      <c r="Z2" s="79"/>
      <c r="AA2" s="79"/>
      <c r="AB2" s="80"/>
      <c r="AD2" s="76" t="s">
        <v>108</v>
      </c>
      <c r="AE2" s="78" t="s">
        <v>381</v>
      </c>
      <c r="AF2" s="79"/>
      <c r="AG2" s="79"/>
      <c r="AH2" s="80"/>
      <c r="AJ2" s="76" t="s">
        <v>108</v>
      </c>
      <c r="AK2" s="78" t="s">
        <v>381</v>
      </c>
      <c r="AL2" s="79"/>
      <c r="AM2" s="79"/>
      <c r="AN2" s="80"/>
      <c r="AP2" s="81" t="s">
        <v>108</v>
      </c>
      <c r="AQ2" s="73" t="s">
        <v>381</v>
      </c>
      <c r="AR2" s="74"/>
      <c r="AS2" s="74"/>
      <c r="AT2" s="75"/>
      <c r="AV2" s="81" t="s">
        <v>108</v>
      </c>
      <c r="AW2" s="73" t="s">
        <v>381</v>
      </c>
      <c r="AX2" s="74"/>
      <c r="AY2" s="74"/>
      <c r="AZ2" s="75"/>
      <c r="BB2" s="81" t="s">
        <v>108</v>
      </c>
      <c r="BC2" s="73" t="s">
        <v>381</v>
      </c>
      <c r="BD2" s="74"/>
      <c r="BE2" s="74"/>
      <c r="BF2" s="75"/>
    </row>
    <row r="3" spans="1:58" ht="15" customHeight="1" x14ac:dyDescent="0.55000000000000004">
      <c r="A3" s="34" t="s">
        <v>109</v>
      </c>
      <c r="B3" s="36">
        <v>3</v>
      </c>
      <c r="C3" s="36">
        <v>6</v>
      </c>
      <c r="D3" s="36">
        <v>11</v>
      </c>
      <c r="E3" s="62">
        <v>1500</v>
      </c>
      <c r="F3" s="36">
        <v>1500</v>
      </c>
      <c r="G3" s="62">
        <f t="shared" ref="G3:G33" si="0">E3*F3</f>
        <v>2250000</v>
      </c>
      <c r="H3" s="36">
        <v>1</v>
      </c>
      <c r="I3" s="36">
        <v>1</v>
      </c>
      <c r="J3" s="36">
        <v>1</v>
      </c>
      <c r="K3" s="58">
        <f>IFERROR(B3/($G3/1000^2),"-")</f>
        <v>1.3333333333333333</v>
      </c>
      <c r="L3" s="58">
        <f>IFERROR(C3/($G3/1000^2),"-")</f>
        <v>2.6666666666666665</v>
      </c>
      <c r="M3" s="58">
        <f>IFERROR(D3/($G3/1000^2),"-")</f>
        <v>4.8888888888888893</v>
      </c>
      <c r="O3" s="77"/>
      <c r="P3" s="77"/>
      <c r="R3" s="77"/>
      <c r="S3" s="49">
        <v>150</v>
      </c>
      <c r="T3" s="49">
        <v>300</v>
      </c>
      <c r="U3" s="49">
        <v>600</v>
      </c>
      <c r="V3" s="49">
        <v>900</v>
      </c>
      <c r="X3" s="77"/>
      <c r="Y3" s="49">
        <v>150</v>
      </c>
      <c r="Z3" s="49">
        <v>300</v>
      </c>
      <c r="AA3" s="49">
        <v>600</v>
      </c>
      <c r="AB3" s="49">
        <v>900</v>
      </c>
      <c r="AD3" s="77"/>
      <c r="AE3" s="49">
        <v>150</v>
      </c>
      <c r="AF3" s="49">
        <v>300</v>
      </c>
      <c r="AG3" s="49">
        <v>600</v>
      </c>
      <c r="AH3" s="49">
        <v>900</v>
      </c>
      <c r="AJ3" s="77"/>
      <c r="AK3" s="49">
        <v>150</v>
      </c>
      <c r="AL3" s="49">
        <v>300</v>
      </c>
      <c r="AM3" s="49">
        <v>600</v>
      </c>
      <c r="AN3" s="49">
        <v>900</v>
      </c>
      <c r="AP3" s="82"/>
      <c r="AQ3" s="15">
        <v>150</v>
      </c>
      <c r="AR3" s="15">
        <v>300</v>
      </c>
      <c r="AS3" s="15">
        <v>600</v>
      </c>
      <c r="AT3" s="15">
        <v>900</v>
      </c>
      <c r="AV3" s="82"/>
      <c r="AW3" s="15">
        <v>150</v>
      </c>
      <c r="AX3" s="15">
        <v>300</v>
      </c>
      <c r="AY3" s="15">
        <v>600</v>
      </c>
      <c r="AZ3" s="15">
        <v>900</v>
      </c>
      <c r="BB3" s="82"/>
      <c r="BC3" s="15">
        <v>150</v>
      </c>
      <c r="BD3" s="15">
        <v>300</v>
      </c>
      <c r="BE3" s="15">
        <v>600</v>
      </c>
      <c r="BF3" s="15">
        <v>900</v>
      </c>
    </row>
    <row r="4" spans="1:58" x14ac:dyDescent="0.55000000000000004">
      <c r="A4" s="34" t="s">
        <v>110</v>
      </c>
      <c r="B4" s="36">
        <v>4</v>
      </c>
      <c r="C4" s="36">
        <v>6</v>
      </c>
      <c r="D4" s="36">
        <v>12</v>
      </c>
      <c r="E4" s="62">
        <v>1500</v>
      </c>
      <c r="F4" s="36">
        <v>1500</v>
      </c>
      <c r="G4" s="62">
        <f t="shared" si="0"/>
        <v>2250000</v>
      </c>
      <c r="H4" s="36">
        <v>2</v>
      </c>
      <c r="I4" s="36">
        <v>2</v>
      </c>
      <c r="J4" s="36">
        <v>2</v>
      </c>
      <c r="K4" s="58">
        <f t="shared" ref="K4:K34" si="1">IFERROR(B4/($G4/1000^2),"-")</f>
        <v>1.7777777777777777</v>
      </c>
      <c r="L4" s="58">
        <f t="shared" ref="L4:L34" si="2">IFERROR(C4/($G4/1000^2),"-")</f>
        <v>2.6666666666666665</v>
      </c>
      <c r="M4" s="58">
        <f t="shared" ref="M4:M34" si="3">IFERROR(D4/($G4/1000^2),"-")</f>
        <v>5.333333333333333</v>
      </c>
      <c r="O4" s="61">
        <v>0.5</v>
      </c>
      <c r="P4" s="49">
        <v>21</v>
      </c>
      <c r="R4" s="61">
        <v>0.5</v>
      </c>
      <c r="S4" s="49">
        <v>48</v>
      </c>
      <c r="T4" s="53">
        <v>54</v>
      </c>
      <c r="U4" s="49">
        <v>54</v>
      </c>
      <c r="V4" s="49">
        <v>64</v>
      </c>
      <c r="X4" s="61">
        <v>0.5</v>
      </c>
      <c r="Y4" s="49">
        <v>89</v>
      </c>
      <c r="Z4" s="49">
        <v>95</v>
      </c>
      <c r="AA4" s="49">
        <v>95</v>
      </c>
      <c r="AB4" s="49">
        <v>121</v>
      </c>
      <c r="AD4" s="61">
        <v>0.5</v>
      </c>
      <c r="AE4" s="53">
        <f t="shared" ref="AE4:AE22" si="4">PI()*(((S4/1000)^2)-(($P4/1000)^2))</f>
        <v>5.8527871136377849E-3</v>
      </c>
      <c r="AF4" s="53">
        <f t="shared" ref="AF4:AH19" si="5">PI()*(((T4/1000)^2)-(($P4/1000)^2))</f>
        <v>7.7754418176347369E-3</v>
      </c>
      <c r="AG4" s="53">
        <f t="shared" si="5"/>
        <v>7.7754418176347369E-3</v>
      </c>
      <c r="AH4" s="53">
        <f t="shared" si="5"/>
        <v>1.1482521148870693E-2</v>
      </c>
      <c r="AJ4" s="61">
        <v>0.5</v>
      </c>
      <c r="AK4" s="53">
        <f t="shared" ref="AK4:AK22" si="6">PI()*(((Y4/1000)^2)-(($P4/1000)^2))</f>
        <v>2.349911304885165E-2</v>
      </c>
      <c r="AL4" s="53">
        <f t="shared" ref="AL4:AN19" si="7">PI()*(((Z4/1000)^2)-(($P4/1000)^2))</f>
        <v>2.6967431338414782E-2</v>
      </c>
      <c r="AM4" s="53">
        <f t="shared" si="7"/>
        <v>2.6967431338414782E-2</v>
      </c>
      <c r="AN4" s="53">
        <f t="shared" si="7"/>
        <v>4.461061568097506E-2</v>
      </c>
      <c r="AP4" s="61">
        <v>0.5</v>
      </c>
      <c r="AQ4" s="15">
        <v>25</v>
      </c>
      <c r="AR4" s="15">
        <v>25</v>
      </c>
      <c r="AS4" s="15">
        <v>25</v>
      </c>
      <c r="AT4" s="15">
        <v>25</v>
      </c>
      <c r="AV4" s="61">
        <v>0.5</v>
      </c>
      <c r="AW4" s="15">
        <f t="shared" ref="AW4:AW22" si="8">AQ4*2</f>
        <v>50</v>
      </c>
      <c r="AX4" s="15">
        <f t="shared" ref="AX4:AZ19" si="9">AR4*2</f>
        <v>50</v>
      </c>
      <c r="AY4" s="15">
        <f t="shared" si="9"/>
        <v>50</v>
      </c>
      <c r="AZ4" s="15">
        <f t="shared" si="9"/>
        <v>50</v>
      </c>
      <c r="BB4" s="61">
        <v>0.5</v>
      </c>
      <c r="BC4" s="15">
        <f>AW4*2</f>
        <v>100</v>
      </c>
      <c r="BD4" s="15">
        <f t="shared" ref="BD4:BF22" si="10">AX4*2</f>
        <v>100</v>
      </c>
      <c r="BE4" s="15">
        <f t="shared" si="10"/>
        <v>100</v>
      </c>
      <c r="BF4" s="15">
        <f t="shared" si="10"/>
        <v>100</v>
      </c>
    </row>
    <row r="5" spans="1:58" x14ac:dyDescent="0.55000000000000004">
      <c r="A5" s="34" t="s">
        <v>111</v>
      </c>
      <c r="B5" s="36" t="s">
        <v>382</v>
      </c>
      <c r="C5" s="36">
        <v>6</v>
      </c>
      <c r="D5" s="36">
        <v>12</v>
      </c>
      <c r="E5" s="62">
        <v>1500</v>
      </c>
      <c r="F5" s="36">
        <v>1500</v>
      </c>
      <c r="G5" s="62">
        <f t="shared" si="0"/>
        <v>2250000</v>
      </c>
      <c r="H5" s="36" t="s">
        <v>382</v>
      </c>
      <c r="I5" s="36">
        <v>1</v>
      </c>
      <c r="J5" s="36">
        <v>1</v>
      </c>
      <c r="K5" s="58" t="str">
        <f t="shared" si="1"/>
        <v>-</v>
      </c>
      <c r="L5" s="58">
        <f t="shared" si="2"/>
        <v>2.6666666666666665</v>
      </c>
      <c r="M5" s="58">
        <f t="shared" si="3"/>
        <v>5.333333333333333</v>
      </c>
      <c r="O5" s="61">
        <v>0.75</v>
      </c>
      <c r="P5" s="49">
        <v>27</v>
      </c>
      <c r="R5" s="61">
        <v>0.75</v>
      </c>
      <c r="S5" s="49">
        <v>57</v>
      </c>
      <c r="T5" s="49">
        <v>67</v>
      </c>
      <c r="U5" s="49">
        <v>67</v>
      </c>
      <c r="V5" s="49">
        <v>70</v>
      </c>
      <c r="X5" s="61">
        <v>0.75</v>
      </c>
      <c r="Y5" s="49">
        <v>99</v>
      </c>
      <c r="Z5" s="49">
        <v>117</v>
      </c>
      <c r="AA5" s="49">
        <v>117</v>
      </c>
      <c r="AB5" s="49">
        <v>130</v>
      </c>
      <c r="AD5" s="61">
        <v>0.75</v>
      </c>
      <c r="AE5" s="53">
        <f t="shared" si="4"/>
        <v>7.9168134870462783E-3</v>
      </c>
      <c r="AF5" s="53">
        <f t="shared" si="5"/>
        <v>1.1812388377497625E-2</v>
      </c>
      <c r="AG5" s="53">
        <f t="shared" si="5"/>
        <v>1.1812388377497625E-2</v>
      </c>
      <c r="AH5" s="53">
        <f t="shared" si="5"/>
        <v>1.3103582958123031E-2</v>
      </c>
      <c r="AJ5" s="61">
        <v>0.75</v>
      </c>
      <c r="AK5" s="53">
        <f t="shared" si="6"/>
        <v>2.8500528553366603E-2</v>
      </c>
      <c r="AL5" s="53">
        <f t="shared" si="7"/>
        <v>4.0715040790523724E-2</v>
      </c>
      <c r="AM5" s="53">
        <f t="shared" si="7"/>
        <v>4.0715040790523724E-2</v>
      </c>
      <c r="AN5" s="53">
        <f t="shared" si="7"/>
        <v>5.0802694801200546E-2</v>
      </c>
      <c r="AP5" s="61">
        <v>0.75</v>
      </c>
      <c r="AQ5" s="15">
        <v>25</v>
      </c>
      <c r="AR5" s="15">
        <v>25</v>
      </c>
      <c r="AS5" s="15">
        <v>25</v>
      </c>
      <c r="AT5" s="15">
        <v>25</v>
      </c>
      <c r="AV5" s="61">
        <v>0.75</v>
      </c>
      <c r="AW5" s="15">
        <f t="shared" si="8"/>
        <v>50</v>
      </c>
      <c r="AX5" s="15">
        <f t="shared" si="9"/>
        <v>50</v>
      </c>
      <c r="AY5" s="15">
        <f t="shared" si="9"/>
        <v>50</v>
      </c>
      <c r="AZ5" s="15">
        <f t="shared" si="9"/>
        <v>50</v>
      </c>
      <c r="BB5" s="61">
        <v>0.75</v>
      </c>
      <c r="BC5" s="15">
        <f t="shared" ref="BC5:BC22" si="11">AW5*2</f>
        <v>100</v>
      </c>
      <c r="BD5" s="15">
        <f t="shared" si="10"/>
        <v>100</v>
      </c>
      <c r="BE5" s="15">
        <f t="shared" si="10"/>
        <v>100</v>
      </c>
      <c r="BF5" s="15">
        <f t="shared" si="10"/>
        <v>100</v>
      </c>
    </row>
    <row r="6" spans="1:58" x14ac:dyDescent="0.55000000000000004">
      <c r="A6" s="34" t="s">
        <v>112</v>
      </c>
      <c r="B6" s="36" t="s">
        <v>382</v>
      </c>
      <c r="C6" s="36">
        <v>6</v>
      </c>
      <c r="D6" s="36">
        <v>12</v>
      </c>
      <c r="E6" s="62">
        <v>1500</v>
      </c>
      <c r="F6" s="36">
        <v>1500</v>
      </c>
      <c r="G6" s="62">
        <f t="shared" si="0"/>
        <v>2250000</v>
      </c>
      <c r="H6" s="36" t="s">
        <v>382</v>
      </c>
      <c r="I6" s="36">
        <v>1</v>
      </c>
      <c r="J6" s="36">
        <v>1</v>
      </c>
      <c r="K6" s="58" t="str">
        <f t="shared" si="1"/>
        <v>-</v>
      </c>
      <c r="L6" s="58">
        <f t="shared" si="2"/>
        <v>2.6666666666666665</v>
      </c>
      <c r="M6" s="58">
        <f t="shared" si="3"/>
        <v>5.333333333333333</v>
      </c>
      <c r="O6" s="61">
        <v>1</v>
      </c>
      <c r="P6" s="49">
        <v>33</v>
      </c>
      <c r="R6" s="61">
        <v>1</v>
      </c>
      <c r="S6" s="49">
        <v>67</v>
      </c>
      <c r="T6" s="49">
        <v>73</v>
      </c>
      <c r="U6" s="49">
        <v>73</v>
      </c>
      <c r="V6" s="49">
        <v>79</v>
      </c>
      <c r="X6" s="61">
        <v>1</v>
      </c>
      <c r="Y6" s="49">
        <v>108</v>
      </c>
      <c r="Z6" s="49">
        <v>124</v>
      </c>
      <c r="AA6" s="49">
        <v>124</v>
      </c>
      <c r="AB6" s="49">
        <v>149</v>
      </c>
      <c r="AD6" s="61">
        <v>1</v>
      </c>
      <c r="AE6" s="53">
        <f t="shared" si="4"/>
        <v>1.0681415022205298E-2</v>
      </c>
      <c r="AF6" s="53">
        <f t="shared" si="5"/>
        <v>1.3320352851220719E-2</v>
      </c>
      <c r="AG6" s="53">
        <f t="shared" si="5"/>
        <v>1.3320352851220719E-2</v>
      </c>
      <c r="AH6" s="53">
        <f t="shared" si="5"/>
        <v>1.6185485351294614E-2</v>
      </c>
      <c r="AJ6" s="61">
        <v>1</v>
      </c>
      <c r="AK6" s="53">
        <f t="shared" si="6"/>
        <v>3.3222342311712061E-2</v>
      </c>
      <c r="AL6" s="53">
        <f t="shared" si="7"/>
        <v>4.488393424183737E-2</v>
      </c>
      <c r="AM6" s="53">
        <f t="shared" si="7"/>
        <v>4.488393424183737E-2</v>
      </c>
      <c r="AN6" s="53">
        <f t="shared" si="7"/>
        <v>6.6325304102587704E-2</v>
      </c>
      <c r="AP6" s="61">
        <v>1</v>
      </c>
      <c r="AQ6" s="15">
        <v>25</v>
      </c>
      <c r="AR6" s="15">
        <v>25</v>
      </c>
      <c r="AS6" s="15">
        <v>25</v>
      </c>
      <c r="AT6" s="15">
        <v>25</v>
      </c>
      <c r="AV6" s="61">
        <v>1</v>
      </c>
      <c r="AW6" s="15">
        <f t="shared" si="8"/>
        <v>50</v>
      </c>
      <c r="AX6" s="15">
        <f t="shared" si="9"/>
        <v>50</v>
      </c>
      <c r="AY6" s="15">
        <f t="shared" si="9"/>
        <v>50</v>
      </c>
      <c r="AZ6" s="15">
        <f t="shared" si="9"/>
        <v>50</v>
      </c>
      <c r="BB6" s="61">
        <v>1</v>
      </c>
      <c r="BC6" s="15">
        <f t="shared" si="11"/>
        <v>100</v>
      </c>
      <c r="BD6" s="15">
        <f t="shared" si="10"/>
        <v>100</v>
      </c>
      <c r="BE6" s="15">
        <f t="shared" si="10"/>
        <v>100</v>
      </c>
      <c r="BF6" s="15">
        <f t="shared" si="10"/>
        <v>100</v>
      </c>
    </row>
    <row r="7" spans="1:58" x14ac:dyDescent="0.55000000000000004">
      <c r="A7" s="34" t="s">
        <v>374</v>
      </c>
      <c r="B7" s="36" t="s">
        <v>382</v>
      </c>
      <c r="C7" s="36">
        <v>8</v>
      </c>
      <c r="D7" s="36">
        <v>14</v>
      </c>
      <c r="E7" s="62">
        <v>1500</v>
      </c>
      <c r="F7" s="36">
        <v>1500</v>
      </c>
      <c r="G7" s="62">
        <f t="shared" si="0"/>
        <v>2250000</v>
      </c>
      <c r="H7" s="36" t="s">
        <v>382</v>
      </c>
      <c r="I7" s="36">
        <v>2</v>
      </c>
      <c r="J7" s="36">
        <v>2</v>
      </c>
      <c r="K7" s="58" t="str">
        <f t="shared" si="1"/>
        <v>-</v>
      </c>
      <c r="L7" s="58">
        <f t="shared" si="2"/>
        <v>3.5555555555555554</v>
      </c>
      <c r="M7" s="58">
        <f t="shared" si="3"/>
        <v>6.2222222222222223</v>
      </c>
      <c r="O7" s="61">
        <v>1.25</v>
      </c>
      <c r="P7" s="49">
        <v>42</v>
      </c>
      <c r="R7" s="61">
        <v>1.25</v>
      </c>
      <c r="S7" s="49">
        <v>76</v>
      </c>
      <c r="T7" s="49">
        <v>83</v>
      </c>
      <c r="U7" s="49">
        <v>83</v>
      </c>
      <c r="V7" s="49">
        <v>89</v>
      </c>
      <c r="X7" s="61">
        <v>1.25</v>
      </c>
      <c r="Y7" s="49">
        <v>118</v>
      </c>
      <c r="Z7" s="49">
        <v>133</v>
      </c>
      <c r="AA7" s="49">
        <v>133</v>
      </c>
      <c r="AB7" s="49">
        <v>159</v>
      </c>
      <c r="AD7" s="61">
        <v>1.25</v>
      </c>
      <c r="AE7" s="53">
        <f t="shared" si="4"/>
        <v>1.260406972620225E-2</v>
      </c>
      <c r="AF7" s="53">
        <f t="shared" si="5"/>
        <v>1.6100662349647694E-2</v>
      </c>
      <c r="AG7" s="53">
        <f t="shared" si="5"/>
        <v>1.6100662349647694E-2</v>
      </c>
      <c r="AH7" s="53">
        <f t="shared" si="5"/>
        <v>1.9342785968152355E-2</v>
      </c>
      <c r="AJ7" s="61">
        <v>1.25</v>
      </c>
      <c r="AK7" s="53">
        <f t="shared" si="6"/>
        <v>3.8201766667651883E-2</v>
      </c>
      <c r="AL7" s="53">
        <f t="shared" si="7"/>
        <v>5.0029863008417462E-2</v>
      </c>
      <c r="AM7" s="53">
        <f t="shared" si="7"/>
        <v>5.0029863008417462E-2</v>
      </c>
      <c r="AN7" s="53">
        <f t="shared" si="7"/>
        <v>7.388083443447116E-2</v>
      </c>
      <c r="AP7" s="61">
        <v>1.25</v>
      </c>
      <c r="AQ7" s="15">
        <v>25</v>
      </c>
      <c r="AR7" s="15">
        <v>25</v>
      </c>
      <c r="AS7" s="15">
        <v>25</v>
      </c>
      <c r="AT7" s="15">
        <v>25</v>
      </c>
      <c r="AV7" s="61">
        <v>1.25</v>
      </c>
      <c r="AW7" s="15">
        <f t="shared" si="8"/>
        <v>50</v>
      </c>
      <c r="AX7" s="15">
        <f t="shared" si="9"/>
        <v>50</v>
      </c>
      <c r="AY7" s="15">
        <f t="shared" si="9"/>
        <v>50</v>
      </c>
      <c r="AZ7" s="15">
        <f t="shared" si="9"/>
        <v>50</v>
      </c>
      <c r="BB7" s="61">
        <v>1.25</v>
      </c>
      <c r="BC7" s="15">
        <f t="shared" si="11"/>
        <v>100</v>
      </c>
      <c r="BD7" s="15">
        <f t="shared" si="10"/>
        <v>100</v>
      </c>
      <c r="BE7" s="15">
        <f t="shared" si="10"/>
        <v>100</v>
      </c>
      <c r="BF7" s="15">
        <f t="shared" si="10"/>
        <v>100</v>
      </c>
    </row>
    <row r="8" spans="1:58" x14ac:dyDescent="0.55000000000000004">
      <c r="A8" s="34" t="s">
        <v>113</v>
      </c>
      <c r="B8" s="36" t="s">
        <v>382</v>
      </c>
      <c r="C8" s="36">
        <v>7</v>
      </c>
      <c r="D8" s="36">
        <v>14</v>
      </c>
      <c r="E8" s="62">
        <v>1500</v>
      </c>
      <c r="F8" s="36">
        <v>1500</v>
      </c>
      <c r="G8" s="62">
        <f t="shared" si="0"/>
        <v>2250000</v>
      </c>
      <c r="H8" s="36" t="s">
        <v>382</v>
      </c>
      <c r="I8" s="36">
        <v>2</v>
      </c>
      <c r="J8" s="36">
        <v>2</v>
      </c>
      <c r="K8" s="58" t="str">
        <f t="shared" si="1"/>
        <v>-</v>
      </c>
      <c r="L8" s="58">
        <f t="shared" si="2"/>
        <v>3.1111111111111112</v>
      </c>
      <c r="M8" s="58">
        <f t="shared" si="3"/>
        <v>6.2222222222222223</v>
      </c>
      <c r="O8" s="61">
        <v>1.5</v>
      </c>
      <c r="P8" s="49">
        <v>49</v>
      </c>
      <c r="R8" s="61">
        <v>1.5</v>
      </c>
      <c r="S8" s="49">
        <v>86</v>
      </c>
      <c r="T8" s="49">
        <v>95</v>
      </c>
      <c r="U8" s="49">
        <v>95</v>
      </c>
      <c r="V8" s="49">
        <v>99</v>
      </c>
      <c r="X8" s="61">
        <v>1.5</v>
      </c>
      <c r="Y8" s="49">
        <v>127</v>
      </c>
      <c r="Z8" s="49">
        <v>155</v>
      </c>
      <c r="AA8" s="49">
        <v>156</v>
      </c>
      <c r="AB8" s="49">
        <v>178</v>
      </c>
      <c r="AD8" s="61">
        <v>1.5</v>
      </c>
      <c r="AE8" s="53">
        <f t="shared" si="4"/>
        <v>1.5692255304681012E-2</v>
      </c>
      <c r="AF8" s="53">
        <f t="shared" si="5"/>
        <v>2.0809909737378788E-2</v>
      </c>
      <c r="AG8" s="53">
        <f t="shared" si="5"/>
        <v>2.0809909737378788E-2</v>
      </c>
      <c r="AH8" s="53">
        <f t="shared" si="5"/>
        <v>2.3247785636564471E-2</v>
      </c>
      <c r="AJ8" s="61">
        <v>1.5</v>
      </c>
      <c r="AK8" s="53">
        <f t="shared" si="6"/>
        <v>4.3127783948480679E-2</v>
      </c>
      <c r="AL8" s="53">
        <f t="shared" si="7"/>
        <v>6.7933799541225692E-2</v>
      </c>
      <c r="AM8" s="53">
        <f t="shared" si="7"/>
        <v>6.8910834856492117E-2</v>
      </c>
      <c r="AN8" s="53">
        <f t="shared" si="7"/>
        <v>9.19952576750699E-2</v>
      </c>
      <c r="AP8" s="61">
        <v>1.5</v>
      </c>
      <c r="AQ8" s="15">
        <v>25</v>
      </c>
      <c r="AR8" s="15">
        <v>25</v>
      </c>
      <c r="AS8" s="15">
        <v>25</v>
      </c>
      <c r="AT8" s="15">
        <v>25</v>
      </c>
      <c r="AV8" s="61">
        <v>1.5</v>
      </c>
      <c r="AW8" s="15">
        <f t="shared" si="8"/>
        <v>50</v>
      </c>
      <c r="AX8" s="15">
        <f t="shared" si="9"/>
        <v>50</v>
      </c>
      <c r="AY8" s="15">
        <f t="shared" si="9"/>
        <v>50</v>
      </c>
      <c r="AZ8" s="15">
        <f t="shared" si="9"/>
        <v>50</v>
      </c>
      <c r="BB8" s="61">
        <v>1.5</v>
      </c>
      <c r="BC8" s="15">
        <f t="shared" si="11"/>
        <v>100</v>
      </c>
      <c r="BD8" s="15">
        <f t="shared" si="10"/>
        <v>100</v>
      </c>
      <c r="BE8" s="15">
        <f t="shared" si="10"/>
        <v>100</v>
      </c>
      <c r="BF8" s="15">
        <f t="shared" si="10"/>
        <v>100</v>
      </c>
    </row>
    <row r="9" spans="1:58" x14ac:dyDescent="0.55000000000000004">
      <c r="A9" s="34" t="s">
        <v>114</v>
      </c>
      <c r="B9" s="36" t="s">
        <v>382</v>
      </c>
      <c r="C9" s="36">
        <v>7</v>
      </c>
      <c r="D9" s="36">
        <v>14</v>
      </c>
      <c r="E9" s="62">
        <v>1500</v>
      </c>
      <c r="F9" s="36">
        <v>1500</v>
      </c>
      <c r="G9" s="62">
        <f t="shared" si="0"/>
        <v>2250000</v>
      </c>
      <c r="H9" s="36" t="s">
        <v>382</v>
      </c>
      <c r="I9" s="36" t="s">
        <v>382</v>
      </c>
      <c r="J9" s="36" t="s">
        <v>382</v>
      </c>
      <c r="K9" s="58" t="str">
        <f t="shared" si="1"/>
        <v>-</v>
      </c>
      <c r="L9" s="58">
        <f t="shared" si="2"/>
        <v>3.1111111111111112</v>
      </c>
      <c r="M9" s="58">
        <f t="shared" si="3"/>
        <v>6.2222222222222223</v>
      </c>
      <c r="O9" s="61">
        <v>2</v>
      </c>
      <c r="P9" s="49">
        <v>60</v>
      </c>
      <c r="R9" s="61">
        <v>2</v>
      </c>
      <c r="S9" s="49">
        <v>105</v>
      </c>
      <c r="T9" s="49">
        <v>111</v>
      </c>
      <c r="U9" s="49">
        <v>111</v>
      </c>
      <c r="V9" s="49">
        <v>143</v>
      </c>
      <c r="X9" s="61">
        <v>2</v>
      </c>
      <c r="Y9" s="49">
        <v>152</v>
      </c>
      <c r="Z9" s="49">
        <v>165</v>
      </c>
      <c r="AA9" s="49">
        <v>165</v>
      </c>
      <c r="AB9" s="49">
        <v>216</v>
      </c>
      <c r="AD9" s="61">
        <v>2</v>
      </c>
      <c r="AE9" s="53">
        <f t="shared" si="4"/>
        <v>2.3326325452904209E-2</v>
      </c>
      <c r="AF9" s="53">
        <f t="shared" si="5"/>
        <v>2.7397829531956585E-2</v>
      </c>
      <c r="AG9" s="53">
        <f t="shared" si="5"/>
        <v>2.7397829531956585E-2</v>
      </c>
      <c r="AH9" s="53">
        <f t="shared" si="5"/>
        <v>5.2932694620334411E-2</v>
      </c>
      <c r="AJ9" s="61">
        <v>2</v>
      </c>
      <c r="AK9" s="53">
        <f t="shared" si="6"/>
        <v>6.1273623115615329E-2</v>
      </c>
      <c r="AL9" s="53">
        <f t="shared" si="7"/>
        <v>7.4220126441058867E-2</v>
      </c>
      <c r="AM9" s="53">
        <f t="shared" si="7"/>
        <v>7.4220126441058867E-2</v>
      </c>
      <c r="AN9" s="53">
        <f t="shared" si="7"/>
        <v>0.13526441329296213</v>
      </c>
      <c r="AP9" s="61">
        <v>2</v>
      </c>
      <c r="AQ9" s="15">
        <v>25</v>
      </c>
      <c r="AR9" s="15">
        <v>25</v>
      </c>
      <c r="AS9" s="15">
        <v>25</v>
      </c>
      <c r="AT9" s="15">
        <v>25</v>
      </c>
      <c r="AV9" s="61">
        <v>2</v>
      </c>
      <c r="AW9" s="15">
        <f t="shared" si="8"/>
        <v>50</v>
      </c>
      <c r="AX9" s="15">
        <f t="shared" si="9"/>
        <v>50</v>
      </c>
      <c r="AY9" s="15">
        <f t="shared" si="9"/>
        <v>50</v>
      </c>
      <c r="AZ9" s="15">
        <f t="shared" si="9"/>
        <v>50</v>
      </c>
      <c r="BB9" s="61">
        <v>2</v>
      </c>
      <c r="BC9" s="15">
        <f t="shared" si="11"/>
        <v>100</v>
      </c>
      <c r="BD9" s="15">
        <f t="shared" si="10"/>
        <v>100</v>
      </c>
      <c r="BE9" s="15">
        <f t="shared" si="10"/>
        <v>100</v>
      </c>
      <c r="BF9" s="15">
        <f t="shared" si="10"/>
        <v>100</v>
      </c>
    </row>
    <row r="10" spans="1:58" x14ac:dyDescent="0.55000000000000004">
      <c r="A10" s="34" t="s">
        <v>115</v>
      </c>
      <c r="B10" s="36" t="s">
        <v>382</v>
      </c>
      <c r="C10" s="36">
        <v>7</v>
      </c>
      <c r="D10" s="36">
        <v>14</v>
      </c>
      <c r="E10" s="62">
        <v>1500</v>
      </c>
      <c r="F10" s="36">
        <v>1500</v>
      </c>
      <c r="G10" s="62">
        <f t="shared" si="0"/>
        <v>2250000</v>
      </c>
      <c r="H10" s="36" t="s">
        <v>382</v>
      </c>
      <c r="I10" s="36" t="s">
        <v>382</v>
      </c>
      <c r="J10" s="36" t="s">
        <v>382</v>
      </c>
      <c r="K10" s="58" t="str">
        <f t="shared" si="1"/>
        <v>-</v>
      </c>
      <c r="L10" s="58">
        <f t="shared" si="2"/>
        <v>3.1111111111111112</v>
      </c>
      <c r="M10" s="58">
        <f t="shared" si="3"/>
        <v>6.2222222222222223</v>
      </c>
      <c r="O10" s="61">
        <v>2.5</v>
      </c>
      <c r="P10" s="49">
        <v>73</v>
      </c>
      <c r="R10" s="61">
        <v>2.5</v>
      </c>
      <c r="S10" s="49">
        <v>124</v>
      </c>
      <c r="T10" s="49">
        <v>130</v>
      </c>
      <c r="U10" s="49">
        <v>130</v>
      </c>
      <c r="V10" s="49">
        <v>165</v>
      </c>
      <c r="X10" s="61">
        <v>2.5</v>
      </c>
      <c r="Y10" s="49">
        <v>178</v>
      </c>
      <c r="Z10" s="49">
        <v>191</v>
      </c>
      <c r="AA10" s="49">
        <v>191</v>
      </c>
      <c r="AB10" s="49">
        <v>245</v>
      </c>
      <c r="AD10" s="61">
        <v>2.5</v>
      </c>
      <c r="AE10" s="53">
        <f t="shared" si="4"/>
        <v>3.156358139061665E-2</v>
      </c>
      <c r="AF10" s="53">
        <f t="shared" si="5"/>
        <v>3.6351368594687503E-2</v>
      </c>
      <c r="AG10" s="53">
        <f t="shared" si="5"/>
        <v>3.6351368594687503E-2</v>
      </c>
      <c r="AH10" s="53">
        <f t="shared" si="5"/>
        <v>6.8788312743002122E-2</v>
      </c>
      <c r="AJ10" s="61">
        <v>2.5</v>
      </c>
      <c r="AK10" s="53">
        <f t="shared" si="6"/>
        <v>8.2796674385358981E-2</v>
      </c>
      <c r="AL10" s="53">
        <f t="shared" si="7"/>
        <v>9.7866894344629238E-2</v>
      </c>
      <c r="AM10" s="53">
        <f t="shared" si="7"/>
        <v>9.7866894344629238E-2</v>
      </c>
      <c r="AN10" s="53">
        <f t="shared" si="7"/>
        <v>0.1718325517807473</v>
      </c>
      <c r="AP10" s="61">
        <v>2.5</v>
      </c>
      <c r="AQ10" s="15">
        <v>25</v>
      </c>
      <c r="AR10" s="15">
        <v>25</v>
      </c>
      <c r="AS10" s="15">
        <v>25</v>
      </c>
      <c r="AT10" s="15">
        <v>25</v>
      </c>
      <c r="AV10" s="61">
        <v>2.5</v>
      </c>
      <c r="AW10" s="15">
        <f t="shared" si="8"/>
        <v>50</v>
      </c>
      <c r="AX10" s="15">
        <f t="shared" si="9"/>
        <v>50</v>
      </c>
      <c r="AY10" s="15">
        <f t="shared" si="9"/>
        <v>50</v>
      </c>
      <c r="AZ10" s="15">
        <f t="shared" si="9"/>
        <v>50</v>
      </c>
      <c r="BB10" s="61">
        <v>2.5</v>
      </c>
      <c r="BC10" s="15">
        <f t="shared" si="11"/>
        <v>100</v>
      </c>
      <c r="BD10" s="15">
        <f t="shared" si="10"/>
        <v>100</v>
      </c>
      <c r="BE10" s="15">
        <f t="shared" si="10"/>
        <v>100</v>
      </c>
      <c r="BF10" s="15">
        <f t="shared" si="10"/>
        <v>100</v>
      </c>
    </row>
    <row r="11" spans="1:58" x14ac:dyDescent="0.55000000000000004">
      <c r="A11" s="34" t="s">
        <v>116</v>
      </c>
      <c r="B11" s="36">
        <v>3</v>
      </c>
      <c r="C11" s="36">
        <v>6</v>
      </c>
      <c r="D11" s="36">
        <v>12</v>
      </c>
      <c r="E11" s="62">
        <v>1500</v>
      </c>
      <c r="F11" s="36">
        <v>1500</v>
      </c>
      <c r="G11" s="62">
        <f t="shared" si="0"/>
        <v>2250000</v>
      </c>
      <c r="H11" s="36">
        <v>1</v>
      </c>
      <c r="I11" s="36">
        <v>1</v>
      </c>
      <c r="J11" s="36">
        <v>1</v>
      </c>
      <c r="K11" s="58">
        <f t="shared" si="1"/>
        <v>1.3333333333333333</v>
      </c>
      <c r="L11" s="58">
        <f t="shared" si="2"/>
        <v>2.6666666666666665</v>
      </c>
      <c r="M11" s="58">
        <f t="shared" si="3"/>
        <v>5.333333333333333</v>
      </c>
      <c r="O11" s="61">
        <v>3</v>
      </c>
      <c r="P11" s="49">
        <v>89</v>
      </c>
      <c r="R11" s="61">
        <v>3</v>
      </c>
      <c r="S11" s="49">
        <v>137</v>
      </c>
      <c r="T11" s="49">
        <v>149</v>
      </c>
      <c r="U11" s="49">
        <v>149</v>
      </c>
      <c r="V11" s="49">
        <v>168</v>
      </c>
      <c r="X11" s="61">
        <v>3</v>
      </c>
      <c r="Y11" s="49">
        <v>191</v>
      </c>
      <c r="Z11" s="49">
        <v>210</v>
      </c>
      <c r="AA11" s="49">
        <v>210</v>
      </c>
      <c r="AB11" s="49">
        <v>241</v>
      </c>
      <c r="AD11" s="61">
        <v>3</v>
      </c>
      <c r="AE11" s="53">
        <f t="shared" si="4"/>
        <v>3.4079997106142089E-2</v>
      </c>
      <c r="AF11" s="53">
        <f t="shared" si="5"/>
        <v>4.4861943093262246E-2</v>
      </c>
      <c r="AG11" s="53">
        <f t="shared" si="5"/>
        <v>4.4861943093262246E-2</v>
      </c>
      <c r="AH11" s="53">
        <f t="shared" si="5"/>
        <v>6.3783755645833579E-2</v>
      </c>
      <c r="AJ11" s="61">
        <v>3</v>
      </c>
      <c r="AK11" s="53">
        <f t="shared" si="6"/>
        <v>8.9723886186524493E-2</v>
      </c>
      <c r="AL11" s="53">
        <f t="shared" si="7"/>
        <v>0.11365968061422511</v>
      </c>
      <c r="AM11" s="53">
        <f t="shared" si="7"/>
        <v>0.11365968061422511</v>
      </c>
      <c r="AN11" s="53">
        <f t="shared" si="7"/>
        <v>0.157582287504064</v>
      </c>
      <c r="AP11" s="61">
        <v>3</v>
      </c>
      <c r="AQ11" s="15">
        <v>25</v>
      </c>
      <c r="AR11" s="15">
        <v>25</v>
      </c>
      <c r="AS11" s="15">
        <v>25</v>
      </c>
      <c r="AT11" s="15">
        <v>25</v>
      </c>
      <c r="AV11" s="61">
        <v>3</v>
      </c>
      <c r="AW11" s="15">
        <f t="shared" si="8"/>
        <v>50</v>
      </c>
      <c r="AX11" s="15">
        <f t="shared" si="9"/>
        <v>50</v>
      </c>
      <c r="AY11" s="15">
        <f t="shared" si="9"/>
        <v>50</v>
      </c>
      <c r="AZ11" s="15">
        <f t="shared" si="9"/>
        <v>50</v>
      </c>
      <c r="BB11" s="61">
        <v>3</v>
      </c>
      <c r="BC11" s="15">
        <f t="shared" si="11"/>
        <v>100</v>
      </c>
      <c r="BD11" s="15">
        <f t="shared" si="10"/>
        <v>100</v>
      </c>
      <c r="BE11" s="15">
        <f t="shared" si="10"/>
        <v>100</v>
      </c>
      <c r="BF11" s="15">
        <f t="shared" si="10"/>
        <v>100</v>
      </c>
    </row>
    <row r="12" spans="1:58" x14ac:dyDescent="0.55000000000000004">
      <c r="A12" s="34" t="s">
        <v>117</v>
      </c>
      <c r="B12" s="36" t="s">
        <v>382</v>
      </c>
      <c r="C12" s="36">
        <v>8</v>
      </c>
      <c r="D12" s="36">
        <v>15</v>
      </c>
      <c r="E12" s="62">
        <v>1500</v>
      </c>
      <c r="F12" s="36">
        <v>1500</v>
      </c>
      <c r="G12" s="62">
        <f t="shared" si="0"/>
        <v>2250000</v>
      </c>
      <c r="H12" s="36" t="s">
        <v>382</v>
      </c>
      <c r="I12" s="36">
        <v>1</v>
      </c>
      <c r="J12" s="36">
        <v>1</v>
      </c>
      <c r="K12" s="58" t="str">
        <f t="shared" si="1"/>
        <v>-</v>
      </c>
      <c r="L12" s="58">
        <f t="shared" si="2"/>
        <v>3.5555555555555554</v>
      </c>
      <c r="M12" s="58">
        <f t="shared" si="3"/>
        <v>6.666666666666667</v>
      </c>
      <c r="O12" s="61">
        <v>4</v>
      </c>
      <c r="P12" s="49">
        <v>114</v>
      </c>
      <c r="R12" s="61">
        <v>4</v>
      </c>
      <c r="S12" s="49">
        <v>175</v>
      </c>
      <c r="T12" s="49">
        <v>181</v>
      </c>
      <c r="U12" s="49">
        <v>194</v>
      </c>
      <c r="V12" s="49">
        <v>206</v>
      </c>
      <c r="X12" s="61">
        <v>4</v>
      </c>
      <c r="Y12" s="49">
        <v>229</v>
      </c>
      <c r="Z12" s="49">
        <v>254</v>
      </c>
      <c r="AA12" s="49">
        <v>273</v>
      </c>
      <c r="AB12" s="49">
        <v>292</v>
      </c>
      <c r="AD12" s="61">
        <v>4</v>
      </c>
      <c r="AE12" s="53">
        <f t="shared" si="4"/>
        <v>5.5383136890134452E-2</v>
      </c>
      <c r="AF12" s="53">
        <f t="shared" si="5"/>
        <v>6.2093578798202251E-2</v>
      </c>
      <c r="AG12" s="53">
        <f t="shared" si="5"/>
        <v>7.7408842984452511E-2</v>
      </c>
      <c r="AH12" s="53">
        <f t="shared" si="5"/>
        <v>9.2488487721683485E-2</v>
      </c>
      <c r="AJ12" s="61">
        <v>4</v>
      </c>
      <c r="AK12" s="53">
        <f t="shared" si="6"/>
        <v>0.12392012222084939</v>
      </c>
      <c r="AL12" s="53">
        <f t="shared" si="7"/>
        <v>0.16185485351294615</v>
      </c>
      <c r="AM12" s="53">
        <f t="shared" si="7"/>
        <v>0.19331162075334077</v>
      </c>
      <c r="AN12" s="53">
        <f t="shared" si="7"/>
        <v>0.22703661788962717</v>
      </c>
      <c r="AP12" s="61">
        <v>4</v>
      </c>
      <c r="AQ12" s="15">
        <v>25</v>
      </c>
      <c r="AR12" s="15">
        <v>25</v>
      </c>
      <c r="AS12" s="15">
        <v>25</v>
      </c>
      <c r="AT12" s="15">
        <v>25</v>
      </c>
      <c r="AV12" s="61">
        <v>4</v>
      </c>
      <c r="AW12" s="15">
        <f t="shared" si="8"/>
        <v>50</v>
      </c>
      <c r="AX12" s="15">
        <f t="shared" si="9"/>
        <v>50</v>
      </c>
      <c r="AY12" s="15">
        <f t="shared" si="9"/>
        <v>50</v>
      </c>
      <c r="AZ12" s="15">
        <f t="shared" si="9"/>
        <v>50</v>
      </c>
      <c r="BB12" s="61">
        <v>4</v>
      </c>
      <c r="BC12" s="15">
        <f t="shared" si="11"/>
        <v>100</v>
      </c>
      <c r="BD12" s="15">
        <f t="shared" si="10"/>
        <v>100</v>
      </c>
      <c r="BE12" s="15">
        <f t="shared" si="10"/>
        <v>100</v>
      </c>
      <c r="BF12" s="15">
        <f t="shared" si="10"/>
        <v>100</v>
      </c>
    </row>
    <row r="13" spans="1:58" x14ac:dyDescent="0.55000000000000004">
      <c r="A13" s="34" t="s">
        <v>118</v>
      </c>
      <c r="B13" s="36" t="s">
        <v>382</v>
      </c>
      <c r="C13" s="36">
        <v>7</v>
      </c>
      <c r="D13" s="36">
        <v>15</v>
      </c>
      <c r="E13" s="62">
        <v>1500</v>
      </c>
      <c r="F13" s="36">
        <v>1500</v>
      </c>
      <c r="G13" s="62">
        <f t="shared" si="0"/>
        <v>2250000</v>
      </c>
      <c r="H13" s="36" t="s">
        <v>382</v>
      </c>
      <c r="I13" s="36">
        <v>2</v>
      </c>
      <c r="J13" s="36">
        <v>2</v>
      </c>
      <c r="K13" s="58" t="str">
        <f t="shared" si="1"/>
        <v>-</v>
      </c>
      <c r="L13" s="58">
        <f t="shared" si="2"/>
        <v>3.1111111111111112</v>
      </c>
      <c r="M13" s="58">
        <f t="shared" si="3"/>
        <v>6.666666666666667</v>
      </c>
      <c r="O13" s="61">
        <v>5</v>
      </c>
      <c r="P13" s="49">
        <v>141</v>
      </c>
      <c r="R13" s="61">
        <v>5</v>
      </c>
      <c r="S13" s="49">
        <v>197</v>
      </c>
      <c r="T13" s="49">
        <v>216</v>
      </c>
      <c r="U13" s="49">
        <v>241</v>
      </c>
      <c r="V13" s="49">
        <v>248</v>
      </c>
      <c r="X13" s="61">
        <v>5</v>
      </c>
      <c r="Y13" s="49">
        <v>254</v>
      </c>
      <c r="Z13" s="49">
        <v>279</v>
      </c>
      <c r="AA13" s="49">
        <v>330</v>
      </c>
      <c r="AB13" s="49">
        <v>349</v>
      </c>
      <c r="AD13" s="61">
        <v>5</v>
      </c>
      <c r="AE13" s="53">
        <f t="shared" si="4"/>
        <v>5.9464065747147625E-2</v>
      </c>
      <c r="AF13" s="53">
        <f t="shared" si="5"/>
        <v>8.4116143299866705E-2</v>
      </c>
      <c r="AG13" s="53">
        <f t="shared" si="5"/>
        <v>0.1200088393671301</v>
      </c>
      <c r="AH13" s="53">
        <f t="shared" si="5"/>
        <v>0.13076251102036796</v>
      </c>
      <c r="AJ13" s="61">
        <v>5</v>
      </c>
      <c r="AK13" s="53">
        <f t="shared" si="6"/>
        <v>0.14022498809298045</v>
      </c>
      <c r="AL13" s="53">
        <f t="shared" si="7"/>
        <v>0.18208671020206449</v>
      </c>
      <c r="AM13" s="53">
        <f t="shared" si="7"/>
        <v>0.27966143642990982</v>
      </c>
      <c r="AN13" s="53">
        <f t="shared" si="7"/>
        <v>0.32019112325387167</v>
      </c>
      <c r="AP13" s="61">
        <v>5</v>
      </c>
      <c r="AQ13" s="15">
        <v>10</v>
      </c>
      <c r="AR13" s="15">
        <v>10</v>
      </c>
      <c r="AS13" s="15">
        <v>10</v>
      </c>
      <c r="AT13" s="15">
        <v>10</v>
      </c>
      <c r="AV13" s="61">
        <v>5</v>
      </c>
      <c r="AW13" s="15">
        <f t="shared" si="8"/>
        <v>20</v>
      </c>
      <c r="AX13" s="15">
        <f t="shared" si="9"/>
        <v>20</v>
      </c>
      <c r="AY13" s="15">
        <f t="shared" si="9"/>
        <v>20</v>
      </c>
      <c r="AZ13" s="15">
        <f t="shared" si="9"/>
        <v>20</v>
      </c>
      <c r="BB13" s="61">
        <v>5</v>
      </c>
      <c r="BC13" s="15">
        <f t="shared" si="11"/>
        <v>40</v>
      </c>
      <c r="BD13" s="15">
        <f t="shared" si="10"/>
        <v>40</v>
      </c>
      <c r="BE13" s="15">
        <f t="shared" si="10"/>
        <v>40</v>
      </c>
      <c r="BF13" s="15">
        <f t="shared" si="10"/>
        <v>40</v>
      </c>
    </row>
    <row r="14" spans="1:58" x14ac:dyDescent="0.55000000000000004">
      <c r="A14" s="34" t="s">
        <v>119</v>
      </c>
      <c r="B14" s="36" t="s">
        <v>382</v>
      </c>
      <c r="C14" s="36">
        <v>6</v>
      </c>
      <c r="D14" s="36">
        <v>12</v>
      </c>
      <c r="E14" s="62">
        <v>1500</v>
      </c>
      <c r="F14" s="36">
        <v>1500</v>
      </c>
      <c r="G14" s="62">
        <f t="shared" si="0"/>
        <v>2250000</v>
      </c>
      <c r="H14" s="36" t="s">
        <v>382</v>
      </c>
      <c r="I14" s="36" t="s">
        <v>382</v>
      </c>
      <c r="J14" s="36" t="s">
        <v>382</v>
      </c>
      <c r="K14" s="58" t="str">
        <f t="shared" si="1"/>
        <v>-</v>
      </c>
      <c r="L14" s="58">
        <f t="shared" si="2"/>
        <v>2.6666666666666665</v>
      </c>
      <c r="M14" s="58">
        <f t="shared" si="3"/>
        <v>5.333333333333333</v>
      </c>
      <c r="O14" s="61">
        <v>6</v>
      </c>
      <c r="P14" s="49">
        <v>168</v>
      </c>
      <c r="R14" s="61">
        <v>6</v>
      </c>
      <c r="S14" s="49">
        <v>222</v>
      </c>
      <c r="T14" s="49">
        <v>251</v>
      </c>
      <c r="U14" s="49">
        <v>267</v>
      </c>
      <c r="V14" s="49">
        <v>289</v>
      </c>
      <c r="X14" s="61">
        <v>6</v>
      </c>
      <c r="Y14" s="49">
        <v>279</v>
      </c>
      <c r="Z14" s="49">
        <v>318</v>
      </c>
      <c r="AA14" s="49">
        <v>356</v>
      </c>
      <c r="AB14" s="49">
        <v>381</v>
      </c>
      <c r="AD14" s="61">
        <v>6</v>
      </c>
      <c r="AE14" s="53">
        <f t="shared" si="4"/>
        <v>6.6161941284601039E-2</v>
      </c>
      <c r="AF14" s="53">
        <f t="shared" si="5"/>
        <v>0.10925516771389224</v>
      </c>
      <c r="AG14" s="53">
        <f t="shared" si="5"/>
        <v>0.13529268762684446</v>
      </c>
      <c r="AH14" s="53">
        <f t="shared" si="5"/>
        <v>0.17372064896555475</v>
      </c>
      <c r="AJ14" s="61">
        <v>6</v>
      </c>
      <c r="AK14" s="53">
        <f t="shared" si="6"/>
        <v>0.15587640269316483</v>
      </c>
      <c r="AL14" s="53">
        <f t="shared" si="7"/>
        <v>0.22902210444669593</v>
      </c>
      <c r="AM14" s="53">
        <f t="shared" si="7"/>
        <v>0.30948457549043767</v>
      </c>
      <c r="AN14" s="53">
        <f t="shared" si="7"/>
        <v>0.36736842013282967</v>
      </c>
      <c r="AP14" s="61">
        <v>6</v>
      </c>
      <c r="AQ14" s="15">
        <v>10</v>
      </c>
      <c r="AR14" s="15">
        <v>10</v>
      </c>
      <c r="AS14" s="15">
        <v>10</v>
      </c>
      <c r="AT14" s="15">
        <v>10</v>
      </c>
      <c r="AV14" s="61">
        <v>6</v>
      </c>
      <c r="AW14" s="15">
        <f t="shared" si="8"/>
        <v>20</v>
      </c>
      <c r="AX14" s="15">
        <f t="shared" si="9"/>
        <v>20</v>
      </c>
      <c r="AY14" s="15">
        <f t="shared" si="9"/>
        <v>20</v>
      </c>
      <c r="AZ14" s="15">
        <f t="shared" si="9"/>
        <v>20</v>
      </c>
      <c r="BB14" s="61">
        <v>6</v>
      </c>
      <c r="BC14" s="15">
        <f t="shared" si="11"/>
        <v>40</v>
      </c>
      <c r="BD14" s="15">
        <f t="shared" si="10"/>
        <v>40</v>
      </c>
      <c r="BE14" s="15">
        <f t="shared" si="10"/>
        <v>40</v>
      </c>
      <c r="BF14" s="15">
        <f t="shared" si="10"/>
        <v>40</v>
      </c>
    </row>
    <row r="15" spans="1:58" x14ac:dyDescent="0.55000000000000004">
      <c r="A15" s="34" t="s">
        <v>120</v>
      </c>
      <c r="B15" s="36" t="s">
        <v>382</v>
      </c>
      <c r="C15" s="36">
        <v>3</v>
      </c>
      <c r="D15" s="36">
        <v>7</v>
      </c>
      <c r="E15" s="62">
        <v>1200</v>
      </c>
      <c r="F15" s="36">
        <v>1000</v>
      </c>
      <c r="G15" s="62">
        <f t="shared" si="0"/>
        <v>1200000</v>
      </c>
      <c r="H15" s="36" t="s">
        <v>382</v>
      </c>
      <c r="I15" s="36" t="s">
        <v>382</v>
      </c>
      <c r="J15" s="36" t="s">
        <v>382</v>
      </c>
      <c r="K15" s="58" t="str">
        <f t="shared" si="1"/>
        <v>-</v>
      </c>
      <c r="L15" s="58">
        <f t="shared" si="2"/>
        <v>2.5</v>
      </c>
      <c r="M15" s="58">
        <f t="shared" si="3"/>
        <v>5.8333333333333339</v>
      </c>
      <c r="O15" s="61">
        <v>8</v>
      </c>
      <c r="P15" s="49">
        <v>219</v>
      </c>
      <c r="R15" s="61">
        <v>8</v>
      </c>
      <c r="S15" s="49">
        <v>279</v>
      </c>
      <c r="T15" s="49">
        <v>308</v>
      </c>
      <c r="U15" s="49">
        <v>321</v>
      </c>
      <c r="V15" s="49">
        <v>359</v>
      </c>
      <c r="X15" s="61">
        <v>8</v>
      </c>
      <c r="Y15" s="49">
        <v>343</v>
      </c>
      <c r="Z15" s="49">
        <v>381</v>
      </c>
      <c r="AA15" s="49">
        <v>419</v>
      </c>
      <c r="AB15" s="49">
        <v>470</v>
      </c>
      <c r="AD15" s="61">
        <v>8</v>
      </c>
      <c r="AE15" s="53">
        <f t="shared" si="4"/>
        <v>9.3870788489263099E-2</v>
      </c>
      <c r="AF15" s="53">
        <f t="shared" si="5"/>
        <v>0.1473501202313221</v>
      </c>
      <c r="AG15" s="53">
        <f t="shared" si="5"/>
        <v>0.17303892335972584</v>
      </c>
      <c r="AH15" s="53">
        <f t="shared" si="5"/>
        <v>0.25421767752848601</v>
      </c>
      <c r="AJ15" s="61">
        <v>8</v>
      </c>
      <c r="AK15" s="53">
        <f t="shared" si="6"/>
        <v>0.21893130884336559</v>
      </c>
      <c r="AL15" s="53">
        <f t="shared" si="7"/>
        <v>0.30536280592892789</v>
      </c>
      <c r="AM15" s="53">
        <f t="shared" si="7"/>
        <v>0.40086722259805757</v>
      </c>
      <c r="AN15" s="53">
        <f t="shared" si="7"/>
        <v>0.54330389191916517</v>
      </c>
      <c r="AP15" s="61">
        <v>8</v>
      </c>
      <c r="AQ15" s="15">
        <v>10</v>
      </c>
      <c r="AR15" s="15">
        <v>10</v>
      </c>
      <c r="AS15" s="15">
        <v>10</v>
      </c>
      <c r="AT15" s="15">
        <v>10</v>
      </c>
      <c r="AV15" s="61">
        <v>8</v>
      </c>
      <c r="AW15" s="15">
        <f t="shared" si="8"/>
        <v>20</v>
      </c>
      <c r="AX15" s="15">
        <f t="shared" si="9"/>
        <v>20</v>
      </c>
      <c r="AY15" s="15">
        <f t="shared" si="9"/>
        <v>20</v>
      </c>
      <c r="AZ15" s="15">
        <f t="shared" si="9"/>
        <v>20</v>
      </c>
      <c r="BB15" s="61">
        <v>8</v>
      </c>
      <c r="BC15" s="15">
        <f t="shared" si="11"/>
        <v>40</v>
      </c>
      <c r="BD15" s="15">
        <f t="shared" si="10"/>
        <v>40</v>
      </c>
      <c r="BE15" s="15">
        <f t="shared" si="10"/>
        <v>40</v>
      </c>
      <c r="BF15" s="15">
        <f t="shared" si="10"/>
        <v>40</v>
      </c>
    </row>
    <row r="16" spans="1:58" x14ac:dyDescent="0.55000000000000004">
      <c r="A16" s="34" t="s">
        <v>121</v>
      </c>
      <c r="B16" s="36" t="s">
        <v>382</v>
      </c>
      <c r="C16" s="36">
        <v>8</v>
      </c>
      <c r="D16" s="36">
        <v>16</v>
      </c>
      <c r="E16" s="62">
        <v>1500</v>
      </c>
      <c r="F16" s="36">
        <v>1500</v>
      </c>
      <c r="G16" s="62">
        <f t="shared" si="0"/>
        <v>2250000</v>
      </c>
      <c r="H16" s="36" t="s">
        <v>382</v>
      </c>
      <c r="I16" s="36">
        <v>2</v>
      </c>
      <c r="J16" s="36" t="s">
        <v>382</v>
      </c>
      <c r="K16" s="58" t="str">
        <f t="shared" si="1"/>
        <v>-</v>
      </c>
      <c r="L16" s="58">
        <f t="shared" si="2"/>
        <v>3.5555555555555554</v>
      </c>
      <c r="M16" s="58">
        <f t="shared" si="3"/>
        <v>7.1111111111111107</v>
      </c>
      <c r="O16" s="61">
        <v>10</v>
      </c>
      <c r="P16" s="49">
        <v>273</v>
      </c>
      <c r="R16" s="61">
        <v>10</v>
      </c>
      <c r="S16" s="49">
        <v>340</v>
      </c>
      <c r="T16" s="49">
        <v>362</v>
      </c>
      <c r="U16" s="49">
        <v>400</v>
      </c>
      <c r="V16" s="49">
        <v>435</v>
      </c>
      <c r="X16" s="61">
        <v>10</v>
      </c>
      <c r="Y16" s="49">
        <v>406</v>
      </c>
      <c r="Z16" s="49">
        <v>445</v>
      </c>
      <c r="AA16" s="49">
        <v>508</v>
      </c>
      <c r="AB16" s="49">
        <v>546</v>
      </c>
      <c r="AD16" s="61">
        <v>10</v>
      </c>
      <c r="AE16" s="53">
        <f t="shared" si="4"/>
        <v>0.12902835187558642</v>
      </c>
      <c r="AF16" s="53">
        <f t="shared" si="5"/>
        <v>0.17754710881762711</v>
      </c>
      <c r="AG16" s="53">
        <f t="shared" si="5"/>
        <v>0.26851506569497324</v>
      </c>
      <c r="AH16" s="53">
        <f t="shared" si="5"/>
        <v>0.36032811099613488</v>
      </c>
      <c r="AJ16" s="61">
        <v>10</v>
      </c>
      <c r="AK16" s="53">
        <f t="shared" si="6"/>
        <v>0.28370780776773347</v>
      </c>
      <c r="AL16" s="53">
        <f t="shared" si="7"/>
        <v>0.3879741263477251</v>
      </c>
      <c r="AM16" s="53">
        <f t="shared" si="7"/>
        <v>0.57659220767660269</v>
      </c>
      <c r="AN16" s="53">
        <f t="shared" si="7"/>
        <v>0.70241927663818116</v>
      </c>
      <c r="AP16" s="61">
        <v>10</v>
      </c>
      <c r="AQ16" s="15">
        <v>10</v>
      </c>
      <c r="AR16" s="15">
        <v>10</v>
      </c>
      <c r="AS16" s="15">
        <v>10</v>
      </c>
      <c r="AT16" s="15">
        <v>10</v>
      </c>
      <c r="AV16" s="61">
        <v>10</v>
      </c>
      <c r="AW16" s="15">
        <f t="shared" si="8"/>
        <v>20</v>
      </c>
      <c r="AX16" s="15">
        <f t="shared" si="9"/>
        <v>20</v>
      </c>
      <c r="AY16" s="15">
        <f t="shared" si="9"/>
        <v>20</v>
      </c>
      <c r="AZ16" s="15">
        <f t="shared" si="9"/>
        <v>20</v>
      </c>
      <c r="BB16" s="61">
        <v>10</v>
      </c>
      <c r="BC16" s="15">
        <f t="shared" si="11"/>
        <v>40</v>
      </c>
      <c r="BD16" s="15">
        <f t="shared" si="10"/>
        <v>40</v>
      </c>
      <c r="BE16" s="15">
        <f t="shared" si="10"/>
        <v>40</v>
      </c>
      <c r="BF16" s="15">
        <f t="shared" si="10"/>
        <v>40</v>
      </c>
    </row>
    <row r="17" spans="1:58" x14ac:dyDescent="0.55000000000000004">
      <c r="A17" s="34" t="s">
        <v>123</v>
      </c>
      <c r="B17" s="36">
        <v>1</v>
      </c>
      <c r="C17" s="36">
        <v>6</v>
      </c>
      <c r="D17" s="36">
        <v>12</v>
      </c>
      <c r="E17" s="62">
        <v>1500</v>
      </c>
      <c r="F17" s="36">
        <v>1500</v>
      </c>
      <c r="G17" s="62">
        <f t="shared" si="0"/>
        <v>2250000</v>
      </c>
      <c r="H17" s="36" t="s">
        <v>382</v>
      </c>
      <c r="I17" s="36" t="s">
        <v>382</v>
      </c>
      <c r="J17" s="36" t="s">
        <v>382</v>
      </c>
      <c r="K17" s="58">
        <f t="shared" si="1"/>
        <v>0.44444444444444442</v>
      </c>
      <c r="L17" s="58">
        <f t="shared" si="2"/>
        <v>2.6666666666666665</v>
      </c>
      <c r="M17" s="58">
        <f t="shared" si="3"/>
        <v>5.333333333333333</v>
      </c>
      <c r="O17" s="61">
        <v>12</v>
      </c>
      <c r="P17" s="49">
        <v>324</v>
      </c>
      <c r="R17" s="61">
        <v>12</v>
      </c>
      <c r="S17" s="49">
        <v>410</v>
      </c>
      <c r="T17" s="49">
        <v>422</v>
      </c>
      <c r="U17" s="49">
        <v>457</v>
      </c>
      <c r="V17" s="49">
        <v>498</v>
      </c>
      <c r="X17" s="61">
        <v>12</v>
      </c>
      <c r="Y17" s="49">
        <v>483</v>
      </c>
      <c r="Z17" s="49">
        <v>521</v>
      </c>
      <c r="AA17" s="49">
        <v>559</v>
      </c>
      <c r="AB17" s="49">
        <v>610</v>
      </c>
      <c r="AD17" s="61">
        <v>12</v>
      </c>
      <c r="AE17" s="53">
        <f t="shared" si="4"/>
        <v>0.19830989466520202</v>
      </c>
      <c r="AF17" s="53">
        <f t="shared" si="5"/>
        <v>0.22967555571864257</v>
      </c>
      <c r="AG17" s="53">
        <f t="shared" si="5"/>
        <v>0.32632665370633263</v>
      </c>
      <c r="AH17" s="53">
        <f t="shared" si="5"/>
        <v>0.44933571405764089</v>
      </c>
      <c r="AJ17" s="61">
        <v>12</v>
      </c>
      <c r="AK17" s="53">
        <f t="shared" si="6"/>
        <v>0.40310717816006714</v>
      </c>
      <c r="AL17" s="53">
        <f t="shared" si="7"/>
        <v>0.52296522107982502</v>
      </c>
      <c r="AM17" s="53">
        <f t="shared" si="7"/>
        <v>0.65189618358315016</v>
      </c>
      <c r="AN17" s="53">
        <f t="shared" si="7"/>
        <v>0.83919479599751978</v>
      </c>
      <c r="AP17" s="61">
        <v>12</v>
      </c>
      <c r="AQ17" s="15">
        <v>5</v>
      </c>
      <c r="AR17" s="15">
        <v>5</v>
      </c>
      <c r="AS17" s="15">
        <v>5</v>
      </c>
      <c r="AT17" s="15">
        <v>5</v>
      </c>
      <c r="AV17" s="61">
        <v>12</v>
      </c>
      <c r="AW17" s="15">
        <f t="shared" si="8"/>
        <v>10</v>
      </c>
      <c r="AX17" s="15">
        <f t="shared" si="9"/>
        <v>10</v>
      </c>
      <c r="AY17" s="15">
        <f t="shared" si="9"/>
        <v>10</v>
      </c>
      <c r="AZ17" s="15">
        <f t="shared" si="9"/>
        <v>10</v>
      </c>
      <c r="BB17" s="61">
        <v>12</v>
      </c>
      <c r="BC17" s="15">
        <f t="shared" si="11"/>
        <v>20</v>
      </c>
      <c r="BD17" s="15">
        <f t="shared" si="10"/>
        <v>20</v>
      </c>
      <c r="BE17" s="15">
        <f t="shared" si="10"/>
        <v>20</v>
      </c>
      <c r="BF17" s="15">
        <f t="shared" si="10"/>
        <v>20</v>
      </c>
    </row>
    <row r="18" spans="1:58" x14ac:dyDescent="0.55000000000000004">
      <c r="A18" s="34" t="s">
        <v>122</v>
      </c>
      <c r="B18" s="36" t="s">
        <v>382</v>
      </c>
      <c r="C18" s="36">
        <v>6</v>
      </c>
      <c r="D18" s="36">
        <v>9</v>
      </c>
      <c r="E18" s="62">
        <v>1500</v>
      </c>
      <c r="F18" s="36">
        <v>1500</v>
      </c>
      <c r="G18" s="62">
        <f t="shared" si="0"/>
        <v>2250000</v>
      </c>
      <c r="H18" s="36" t="s">
        <v>382</v>
      </c>
      <c r="I18" s="36" t="s">
        <v>382</v>
      </c>
      <c r="J18" s="36" t="s">
        <v>382</v>
      </c>
      <c r="K18" s="58" t="str">
        <f t="shared" si="1"/>
        <v>-</v>
      </c>
      <c r="L18" s="58">
        <f t="shared" si="2"/>
        <v>2.6666666666666665</v>
      </c>
      <c r="M18" s="58">
        <f t="shared" si="3"/>
        <v>4</v>
      </c>
      <c r="O18" s="61">
        <v>14</v>
      </c>
      <c r="P18" s="49">
        <v>356</v>
      </c>
      <c r="R18" s="61">
        <v>14</v>
      </c>
      <c r="S18" s="49">
        <v>451</v>
      </c>
      <c r="T18" s="49">
        <v>486</v>
      </c>
      <c r="U18" s="49">
        <v>492</v>
      </c>
      <c r="V18" s="49">
        <v>521</v>
      </c>
      <c r="X18" s="61">
        <v>14</v>
      </c>
      <c r="Y18" s="49">
        <v>533</v>
      </c>
      <c r="Z18" s="49">
        <v>584</v>
      </c>
      <c r="AA18" s="49">
        <v>603</v>
      </c>
      <c r="AB18" s="49">
        <v>641</v>
      </c>
      <c r="AD18" s="61">
        <v>14</v>
      </c>
      <c r="AE18" s="53">
        <f t="shared" si="4"/>
        <v>0.24085020078746153</v>
      </c>
      <c r="AF18" s="53">
        <f t="shared" si="5"/>
        <v>0.34387873186193874</v>
      </c>
      <c r="AG18" s="53">
        <f t="shared" si="5"/>
        <v>0.36231359755320369</v>
      </c>
      <c r="AH18" s="53">
        <f t="shared" si="5"/>
        <v>0.45460416493771116</v>
      </c>
      <c r="AJ18" s="61">
        <v>14</v>
      </c>
      <c r="AK18" s="53">
        <f t="shared" si="6"/>
        <v>0.49433902882031489</v>
      </c>
      <c r="AL18" s="53">
        <f t="shared" si="7"/>
        <v>0.67330613751736446</v>
      </c>
      <c r="AM18" s="53">
        <f t="shared" si="7"/>
        <v>0.74415847663377499</v>
      </c>
      <c r="AN18" s="53">
        <f t="shared" si="7"/>
        <v>0.89266784455427173</v>
      </c>
      <c r="AP18" s="61">
        <v>14</v>
      </c>
      <c r="AQ18" s="15">
        <v>5</v>
      </c>
      <c r="AR18" s="15">
        <v>5</v>
      </c>
      <c r="AS18" s="15">
        <v>5</v>
      </c>
      <c r="AT18" s="15">
        <v>5</v>
      </c>
      <c r="AV18" s="61">
        <v>14</v>
      </c>
      <c r="AW18" s="15">
        <f t="shared" si="8"/>
        <v>10</v>
      </c>
      <c r="AX18" s="15">
        <f t="shared" si="9"/>
        <v>10</v>
      </c>
      <c r="AY18" s="15">
        <f t="shared" si="9"/>
        <v>10</v>
      </c>
      <c r="AZ18" s="15">
        <f t="shared" si="9"/>
        <v>10</v>
      </c>
      <c r="BB18" s="61">
        <v>14</v>
      </c>
      <c r="BC18" s="15">
        <f t="shared" si="11"/>
        <v>20</v>
      </c>
      <c r="BD18" s="15">
        <f t="shared" si="10"/>
        <v>20</v>
      </c>
      <c r="BE18" s="15">
        <f t="shared" si="10"/>
        <v>20</v>
      </c>
      <c r="BF18" s="15">
        <f t="shared" si="10"/>
        <v>20</v>
      </c>
    </row>
    <row r="19" spans="1:58" x14ac:dyDescent="0.55000000000000004">
      <c r="A19" s="34" t="s">
        <v>124</v>
      </c>
      <c r="B19" s="36">
        <v>2</v>
      </c>
      <c r="C19" s="36">
        <v>4</v>
      </c>
      <c r="D19" s="36">
        <v>9</v>
      </c>
      <c r="E19" s="62">
        <v>1500</v>
      </c>
      <c r="F19" s="36">
        <v>1500</v>
      </c>
      <c r="G19" s="62">
        <f t="shared" si="0"/>
        <v>2250000</v>
      </c>
      <c r="H19" s="36" t="s">
        <v>382</v>
      </c>
      <c r="I19" s="36" t="s">
        <v>382</v>
      </c>
      <c r="J19" s="36" t="s">
        <v>382</v>
      </c>
      <c r="K19" s="58">
        <f t="shared" si="1"/>
        <v>0.88888888888888884</v>
      </c>
      <c r="L19" s="58">
        <f t="shared" si="2"/>
        <v>1.7777777777777777</v>
      </c>
      <c r="M19" s="58">
        <f t="shared" si="3"/>
        <v>4</v>
      </c>
      <c r="O19" s="61">
        <v>16</v>
      </c>
      <c r="P19" s="49">
        <v>406</v>
      </c>
      <c r="R19" s="61">
        <v>16</v>
      </c>
      <c r="S19" s="49">
        <v>514</v>
      </c>
      <c r="T19" s="49">
        <v>540</v>
      </c>
      <c r="U19" s="49">
        <v>565</v>
      </c>
      <c r="V19" s="49">
        <v>575</v>
      </c>
      <c r="X19" s="61">
        <v>16</v>
      </c>
      <c r="Y19" s="49">
        <v>597</v>
      </c>
      <c r="Z19" s="49">
        <v>648</v>
      </c>
      <c r="AA19" s="49">
        <v>686</v>
      </c>
      <c r="AB19" s="49">
        <v>705</v>
      </c>
      <c r="AD19" s="61">
        <v>16</v>
      </c>
      <c r="AE19" s="53">
        <f t="shared" si="4"/>
        <v>0.31214864606068177</v>
      </c>
      <c r="AF19" s="53">
        <f t="shared" si="5"/>
        <v>0.39824085113965657</v>
      </c>
      <c r="AG19" s="53">
        <f t="shared" si="5"/>
        <v>0.48502734819507431</v>
      </c>
      <c r="AH19" s="53">
        <f t="shared" si="5"/>
        <v>0.52084150444599797</v>
      </c>
      <c r="AJ19" s="61">
        <v>16</v>
      </c>
      <c r="AK19" s="53">
        <f t="shared" si="6"/>
        <v>0.60184432942615729</v>
      </c>
      <c r="AL19" s="53">
        <f t="shared" si="7"/>
        <v>0.80131975496584118</v>
      </c>
      <c r="AM19" s="53">
        <f t="shared" si="7"/>
        <v>0.96057336976161523</v>
      </c>
      <c r="AN19" s="53">
        <f t="shared" si="7"/>
        <v>1.0436025220033396</v>
      </c>
      <c r="AP19" s="61">
        <v>16</v>
      </c>
      <c r="AQ19" s="15">
        <v>5</v>
      </c>
      <c r="AR19" s="15">
        <v>5</v>
      </c>
      <c r="AS19" s="15">
        <v>5</v>
      </c>
      <c r="AT19" s="15">
        <v>5</v>
      </c>
      <c r="AV19" s="61">
        <v>16</v>
      </c>
      <c r="AW19" s="15">
        <f t="shared" si="8"/>
        <v>10</v>
      </c>
      <c r="AX19" s="15">
        <f t="shared" si="9"/>
        <v>10</v>
      </c>
      <c r="AY19" s="15">
        <f t="shared" si="9"/>
        <v>10</v>
      </c>
      <c r="AZ19" s="15">
        <f t="shared" si="9"/>
        <v>10</v>
      </c>
      <c r="BB19" s="61">
        <v>16</v>
      </c>
      <c r="BC19" s="15">
        <f t="shared" si="11"/>
        <v>20</v>
      </c>
      <c r="BD19" s="15">
        <f t="shared" si="10"/>
        <v>20</v>
      </c>
      <c r="BE19" s="15">
        <f t="shared" si="10"/>
        <v>20</v>
      </c>
      <c r="BF19" s="15">
        <f t="shared" si="10"/>
        <v>20</v>
      </c>
    </row>
    <row r="20" spans="1:58" x14ac:dyDescent="0.55000000000000004">
      <c r="A20" s="34" t="s">
        <v>125</v>
      </c>
      <c r="B20" s="36" t="s">
        <v>382</v>
      </c>
      <c r="C20" s="36">
        <v>6</v>
      </c>
      <c r="D20" s="36">
        <v>12</v>
      </c>
      <c r="E20" s="62">
        <v>1500</v>
      </c>
      <c r="F20" s="36">
        <v>1500</v>
      </c>
      <c r="G20" s="62">
        <f t="shared" si="0"/>
        <v>2250000</v>
      </c>
      <c r="H20" s="36" t="s">
        <v>382</v>
      </c>
      <c r="I20" s="36">
        <v>2</v>
      </c>
      <c r="J20" s="36">
        <v>2</v>
      </c>
      <c r="K20" s="58" t="str">
        <f t="shared" si="1"/>
        <v>-</v>
      </c>
      <c r="L20" s="58">
        <f t="shared" si="2"/>
        <v>2.6666666666666665</v>
      </c>
      <c r="M20" s="58">
        <f t="shared" si="3"/>
        <v>5.333333333333333</v>
      </c>
      <c r="O20" s="61">
        <v>18</v>
      </c>
      <c r="P20" s="49">
        <v>457</v>
      </c>
      <c r="R20" s="61">
        <v>18</v>
      </c>
      <c r="S20" s="49">
        <v>549</v>
      </c>
      <c r="T20" s="49">
        <v>597</v>
      </c>
      <c r="U20" s="49">
        <v>613</v>
      </c>
      <c r="V20" s="49">
        <v>638</v>
      </c>
      <c r="X20" s="61">
        <v>18</v>
      </c>
      <c r="Y20" s="49">
        <v>635</v>
      </c>
      <c r="Z20" s="49">
        <v>711</v>
      </c>
      <c r="AA20" s="49">
        <v>743</v>
      </c>
      <c r="AB20" s="49">
        <v>787</v>
      </c>
      <c r="AD20" s="61">
        <v>18</v>
      </c>
      <c r="AE20" s="53">
        <f t="shared" si="4"/>
        <v>0.29076068327504262</v>
      </c>
      <c r="AF20" s="53">
        <f t="shared" ref="AF20:AH22" si="12">PI()*(((T20/1000)^2)-(($P20/1000)^2))</f>
        <v>0.46357341196370977</v>
      </c>
      <c r="AG20" s="53">
        <f t="shared" si="12"/>
        <v>0.52439464573720818</v>
      </c>
      <c r="AH20" s="53">
        <f t="shared" si="12"/>
        <v>0.62264795597822908</v>
      </c>
      <c r="AJ20" s="61">
        <v>18</v>
      </c>
      <c r="AK20" s="53">
        <f t="shared" si="6"/>
        <v>0.6106502136341696</v>
      </c>
      <c r="AL20" s="53">
        <f t="shared" ref="AL20:AN22" si="13">PI()*(((Z20/1000)^2)-(($P20/1000)^2))</f>
        <v>0.93202257572579106</v>
      </c>
      <c r="AM20" s="53">
        <f t="shared" si="13"/>
        <v>1.0781945987120169</v>
      </c>
      <c r="AN20" s="53">
        <f t="shared" si="13"/>
        <v>1.289686616151682</v>
      </c>
      <c r="AP20" s="61">
        <v>18</v>
      </c>
      <c r="AQ20" s="15">
        <v>5</v>
      </c>
      <c r="AR20" s="15">
        <v>5</v>
      </c>
      <c r="AS20" s="15">
        <v>5</v>
      </c>
      <c r="AT20" s="15">
        <v>5</v>
      </c>
      <c r="AV20" s="61">
        <v>18</v>
      </c>
      <c r="AW20" s="15">
        <f t="shared" si="8"/>
        <v>10</v>
      </c>
      <c r="AX20" s="15">
        <f t="shared" ref="AX20:AZ22" si="14">AR20*2</f>
        <v>10</v>
      </c>
      <c r="AY20" s="15">
        <f t="shared" si="14"/>
        <v>10</v>
      </c>
      <c r="AZ20" s="15">
        <f t="shared" si="14"/>
        <v>10</v>
      </c>
      <c r="BB20" s="61">
        <v>18</v>
      </c>
      <c r="BC20" s="15">
        <f t="shared" si="11"/>
        <v>20</v>
      </c>
      <c r="BD20" s="15">
        <f t="shared" si="10"/>
        <v>20</v>
      </c>
      <c r="BE20" s="15">
        <f t="shared" si="10"/>
        <v>20</v>
      </c>
      <c r="BF20" s="15">
        <f t="shared" si="10"/>
        <v>20</v>
      </c>
    </row>
    <row r="21" spans="1:58" x14ac:dyDescent="0.55000000000000004">
      <c r="A21" s="34" t="s">
        <v>126</v>
      </c>
      <c r="B21" s="36" t="s">
        <v>382</v>
      </c>
      <c r="C21" s="36">
        <v>7</v>
      </c>
      <c r="D21" s="36">
        <v>13</v>
      </c>
      <c r="E21" s="62">
        <v>1500</v>
      </c>
      <c r="F21" s="36">
        <v>1500</v>
      </c>
      <c r="G21" s="62">
        <f t="shared" si="0"/>
        <v>2250000</v>
      </c>
      <c r="H21" s="36" t="s">
        <v>382</v>
      </c>
      <c r="I21" s="36">
        <v>1</v>
      </c>
      <c r="J21" s="36">
        <v>1</v>
      </c>
      <c r="K21" s="58" t="str">
        <f t="shared" si="1"/>
        <v>-</v>
      </c>
      <c r="L21" s="58">
        <f t="shared" si="2"/>
        <v>3.1111111111111112</v>
      </c>
      <c r="M21" s="58">
        <f t="shared" si="3"/>
        <v>5.7777777777777777</v>
      </c>
      <c r="O21" s="61">
        <v>20</v>
      </c>
      <c r="P21" s="49">
        <v>508</v>
      </c>
      <c r="R21" s="61">
        <v>20</v>
      </c>
      <c r="S21" s="49">
        <v>607</v>
      </c>
      <c r="T21" s="49">
        <v>654</v>
      </c>
      <c r="U21" s="49">
        <v>683</v>
      </c>
      <c r="V21" s="49">
        <v>699</v>
      </c>
      <c r="X21" s="61">
        <v>20</v>
      </c>
      <c r="Y21" s="49">
        <v>699</v>
      </c>
      <c r="Z21" s="49">
        <v>775</v>
      </c>
      <c r="AA21" s="49">
        <v>813</v>
      </c>
      <c r="AB21" s="49">
        <v>857</v>
      </c>
      <c r="AD21" s="61">
        <v>20</v>
      </c>
      <c r="AE21" s="53">
        <f t="shared" si="4"/>
        <v>0.34678470506650916</v>
      </c>
      <c r="AF21" s="53">
        <f t="shared" si="12"/>
        <v>0.53297747686681562</v>
      </c>
      <c r="AG21" s="53">
        <f t="shared" si="12"/>
        <v>0.65478644882445292</v>
      </c>
      <c r="AH21" s="53">
        <f t="shared" si="12"/>
        <v>0.72425334558062993</v>
      </c>
      <c r="AJ21" s="61">
        <v>20</v>
      </c>
      <c r="AK21" s="53">
        <f t="shared" si="6"/>
        <v>0.72425334558062993</v>
      </c>
      <c r="AL21" s="53">
        <f t="shared" si="13"/>
        <v>1.0761871210063734</v>
      </c>
      <c r="AM21" s="53">
        <f t="shared" si="13"/>
        <v>1.2657633880945953</v>
      </c>
      <c r="AN21" s="53">
        <f t="shared" si="13"/>
        <v>1.4966076162803736</v>
      </c>
      <c r="AP21" s="61">
        <v>20</v>
      </c>
      <c r="AQ21" s="15">
        <v>5</v>
      </c>
      <c r="AR21" s="15">
        <v>5</v>
      </c>
      <c r="AS21" s="15">
        <v>5</v>
      </c>
      <c r="AT21" s="15">
        <v>5</v>
      </c>
      <c r="AV21" s="61">
        <v>20</v>
      </c>
      <c r="AW21" s="15">
        <f t="shared" si="8"/>
        <v>10</v>
      </c>
      <c r="AX21" s="15">
        <f t="shared" si="14"/>
        <v>10</v>
      </c>
      <c r="AY21" s="15">
        <f t="shared" si="14"/>
        <v>10</v>
      </c>
      <c r="AZ21" s="15">
        <f t="shared" si="14"/>
        <v>10</v>
      </c>
      <c r="BB21" s="61">
        <v>20</v>
      </c>
      <c r="BC21" s="15">
        <f t="shared" si="11"/>
        <v>20</v>
      </c>
      <c r="BD21" s="15">
        <f t="shared" si="10"/>
        <v>20</v>
      </c>
      <c r="BE21" s="15">
        <f t="shared" si="10"/>
        <v>20</v>
      </c>
      <c r="BF21" s="15">
        <f t="shared" si="10"/>
        <v>20</v>
      </c>
    </row>
    <row r="22" spans="1:58" x14ac:dyDescent="0.55000000000000004">
      <c r="A22" s="34" t="s">
        <v>127</v>
      </c>
      <c r="B22" s="36" t="s">
        <v>382</v>
      </c>
      <c r="C22" s="36">
        <v>10</v>
      </c>
      <c r="D22" s="36">
        <v>21</v>
      </c>
      <c r="E22" s="62">
        <v>1500</v>
      </c>
      <c r="F22" s="36">
        <v>1500</v>
      </c>
      <c r="G22" s="62">
        <f t="shared" si="0"/>
        <v>2250000</v>
      </c>
      <c r="H22" s="36" t="s">
        <v>382</v>
      </c>
      <c r="I22" s="36">
        <v>1</v>
      </c>
      <c r="J22" s="36">
        <v>1</v>
      </c>
      <c r="K22" s="58" t="str">
        <f t="shared" si="1"/>
        <v>-</v>
      </c>
      <c r="L22" s="58">
        <f t="shared" si="2"/>
        <v>4.4444444444444446</v>
      </c>
      <c r="M22" s="58">
        <f t="shared" si="3"/>
        <v>9.3333333333333339</v>
      </c>
      <c r="O22" s="61">
        <v>24</v>
      </c>
      <c r="P22" s="49">
        <v>610</v>
      </c>
      <c r="R22" s="61">
        <v>24</v>
      </c>
      <c r="S22" s="49">
        <v>718</v>
      </c>
      <c r="T22" s="49">
        <v>775</v>
      </c>
      <c r="U22" s="49">
        <v>791</v>
      </c>
      <c r="V22" s="49">
        <v>838</v>
      </c>
      <c r="X22" s="61">
        <v>24</v>
      </c>
      <c r="Y22" s="49">
        <v>813</v>
      </c>
      <c r="Z22" s="49">
        <v>914</v>
      </c>
      <c r="AA22" s="49">
        <v>940</v>
      </c>
      <c r="AB22" s="49">
        <v>1041</v>
      </c>
      <c r="AD22" s="61">
        <v>24</v>
      </c>
      <c r="AE22" s="53">
        <f t="shared" si="4"/>
        <v>0.4505797847484625</v>
      </c>
      <c r="AF22" s="53">
        <f t="shared" si="12"/>
        <v>0.7179324611616078</v>
      </c>
      <c r="AG22" s="53">
        <f t="shared" si="12"/>
        <v>0.79664820668995351</v>
      </c>
      <c r="AH22" s="53">
        <f t="shared" si="12"/>
        <v>1.0371779650267485</v>
      </c>
      <c r="AJ22" s="61">
        <v>24</v>
      </c>
      <c r="AK22" s="53">
        <f t="shared" si="6"/>
        <v>0.90750872824982975</v>
      </c>
      <c r="AL22" s="53">
        <f t="shared" si="13"/>
        <v>1.455487310037537</v>
      </c>
      <c r="AM22" s="53">
        <f t="shared" si="13"/>
        <v>1.6069246423111789</v>
      </c>
      <c r="AN22" s="53">
        <f t="shared" si="13"/>
        <v>2.2354976420340784</v>
      </c>
      <c r="AP22" s="61">
        <v>24</v>
      </c>
      <c r="AQ22" s="15">
        <v>5</v>
      </c>
      <c r="AR22" s="15">
        <v>5</v>
      </c>
      <c r="AS22" s="15">
        <v>5</v>
      </c>
      <c r="AT22" s="15">
        <v>5</v>
      </c>
      <c r="AV22" s="61">
        <v>24</v>
      </c>
      <c r="AW22" s="15">
        <f t="shared" si="8"/>
        <v>10</v>
      </c>
      <c r="AX22" s="15">
        <f t="shared" si="14"/>
        <v>10</v>
      </c>
      <c r="AY22" s="15">
        <f t="shared" si="14"/>
        <v>10</v>
      </c>
      <c r="AZ22" s="15">
        <f t="shared" si="14"/>
        <v>10</v>
      </c>
      <c r="BB22" s="61">
        <v>24</v>
      </c>
      <c r="BC22" s="15">
        <f t="shared" si="11"/>
        <v>20</v>
      </c>
      <c r="BD22" s="15">
        <f t="shared" si="10"/>
        <v>20</v>
      </c>
      <c r="BE22" s="15">
        <f t="shared" si="10"/>
        <v>20</v>
      </c>
      <c r="BF22" s="15">
        <f t="shared" si="10"/>
        <v>20</v>
      </c>
    </row>
    <row r="23" spans="1:58" x14ac:dyDescent="0.55000000000000004">
      <c r="A23" s="34" t="s">
        <v>128</v>
      </c>
      <c r="B23" s="36" t="s">
        <v>382</v>
      </c>
      <c r="C23" s="36">
        <v>7</v>
      </c>
      <c r="D23" s="36">
        <v>14</v>
      </c>
      <c r="E23" s="62">
        <v>1500</v>
      </c>
      <c r="F23" s="36">
        <v>1500</v>
      </c>
      <c r="G23" s="62">
        <f t="shared" si="0"/>
        <v>2250000</v>
      </c>
      <c r="H23" s="36" t="s">
        <v>382</v>
      </c>
      <c r="I23" s="36">
        <v>2</v>
      </c>
      <c r="J23" s="36">
        <v>2</v>
      </c>
      <c r="K23" s="58" t="str">
        <f t="shared" si="1"/>
        <v>-</v>
      </c>
      <c r="L23" s="58">
        <f t="shared" si="2"/>
        <v>3.1111111111111112</v>
      </c>
      <c r="M23" s="58">
        <f t="shared" si="3"/>
        <v>6.2222222222222223</v>
      </c>
    </row>
    <row r="24" spans="1:58" x14ac:dyDescent="0.55000000000000004">
      <c r="A24" s="34" t="s">
        <v>129</v>
      </c>
      <c r="B24" s="36">
        <v>3</v>
      </c>
      <c r="C24" s="36">
        <v>6</v>
      </c>
      <c r="D24" s="36">
        <v>12</v>
      </c>
      <c r="E24" s="62">
        <v>1500</v>
      </c>
      <c r="F24" s="36">
        <v>1500</v>
      </c>
      <c r="G24" s="62">
        <f t="shared" si="0"/>
        <v>2250000</v>
      </c>
      <c r="H24" s="36">
        <v>4</v>
      </c>
      <c r="I24" s="36">
        <v>3</v>
      </c>
      <c r="J24" s="36">
        <v>2</v>
      </c>
      <c r="K24" s="58">
        <f t="shared" si="1"/>
        <v>1.3333333333333333</v>
      </c>
      <c r="L24" s="58">
        <f t="shared" si="2"/>
        <v>2.6666666666666665</v>
      </c>
      <c r="M24" s="58">
        <f t="shared" si="3"/>
        <v>5.333333333333333</v>
      </c>
      <c r="AD24">
        <f>INDEX(SOFTGASKET!$AD$2:$AH$22,MATCH(AD4,SOFTGASKET!$AD$4:$AD$22,0)+2,MATCH(AE3,SOFTGASKET!$AE$3:$AH$3,0)+1)</f>
        <v>5.8527871136377849E-3</v>
      </c>
      <c r="AE24" s="60"/>
    </row>
    <row r="25" spans="1:58" x14ac:dyDescent="0.55000000000000004">
      <c r="A25" s="34" t="s">
        <v>130</v>
      </c>
      <c r="B25" s="36" t="s">
        <v>382</v>
      </c>
      <c r="C25" s="36" t="s">
        <v>382</v>
      </c>
      <c r="D25" s="36">
        <v>11</v>
      </c>
      <c r="E25" s="62">
        <v>1500</v>
      </c>
      <c r="F25" s="36">
        <v>1500</v>
      </c>
      <c r="G25" s="62">
        <f t="shared" si="0"/>
        <v>2250000</v>
      </c>
      <c r="H25" s="36" t="s">
        <v>382</v>
      </c>
      <c r="I25" s="36" t="s">
        <v>382</v>
      </c>
      <c r="J25" s="36">
        <v>1</v>
      </c>
      <c r="K25" s="58" t="str">
        <f t="shared" si="1"/>
        <v>-</v>
      </c>
      <c r="L25" s="58" t="str">
        <f t="shared" si="2"/>
        <v>-</v>
      </c>
      <c r="M25" s="58">
        <f t="shared" si="3"/>
        <v>4.8888888888888893</v>
      </c>
      <c r="O25"/>
      <c r="P25"/>
    </row>
    <row r="26" spans="1:58" x14ac:dyDescent="0.55000000000000004">
      <c r="A26" s="34" t="s">
        <v>131</v>
      </c>
      <c r="B26" s="36" t="s">
        <v>382</v>
      </c>
      <c r="C26" s="36" t="s">
        <v>382</v>
      </c>
      <c r="D26" s="36">
        <v>8</v>
      </c>
      <c r="E26" s="62">
        <v>1500</v>
      </c>
      <c r="F26" s="36">
        <v>1500</v>
      </c>
      <c r="G26" s="62">
        <f t="shared" si="0"/>
        <v>2250000</v>
      </c>
      <c r="H26" s="36" t="s">
        <v>382</v>
      </c>
      <c r="I26" s="36" t="s">
        <v>382</v>
      </c>
      <c r="J26" s="36" t="s">
        <v>382</v>
      </c>
      <c r="K26" s="58" t="str">
        <f t="shared" si="1"/>
        <v>-</v>
      </c>
      <c r="L26" s="58" t="str">
        <f t="shared" si="2"/>
        <v>-</v>
      </c>
      <c r="M26" s="58">
        <f t="shared" si="3"/>
        <v>3.5555555555555554</v>
      </c>
    </row>
    <row r="27" spans="1:58" x14ac:dyDescent="0.55000000000000004">
      <c r="A27" s="34" t="s">
        <v>132</v>
      </c>
      <c r="B27" s="36" t="s">
        <v>382</v>
      </c>
      <c r="C27" s="36" t="s">
        <v>382</v>
      </c>
      <c r="D27" s="36">
        <v>11</v>
      </c>
      <c r="E27" s="62">
        <v>1500</v>
      </c>
      <c r="F27" s="36">
        <v>1500</v>
      </c>
      <c r="G27" s="62">
        <f t="shared" si="0"/>
        <v>2250000</v>
      </c>
      <c r="H27" s="36" t="s">
        <v>382</v>
      </c>
      <c r="I27" s="36" t="s">
        <v>382</v>
      </c>
      <c r="J27" s="36">
        <v>1</v>
      </c>
      <c r="K27" s="58" t="str">
        <f t="shared" si="1"/>
        <v>-</v>
      </c>
      <c r="L27" s="58" t="str">
        <f t="shared" si="2"/>
        <v>-</v>
      </c>
      <c r="M27" s="58">
        <f t="shared" si="3"/>
        <v>4.8888888888888893</v>
      </c>
    </row>
    <row r="28" spans="1:58" x14ac:dyDescent="0.55000000000000004">
      <c r="A28" s="34" t="s">
        <v>135</v>
      </c>
      <c r="B28" s="36" t="s">
        <v>382</v>
      </c>
      <c r="C28" s="36" t="s">
        <v>382</v>
      </c>
      <c r="D28" s="36">
        <v>12</v>
      </c>
      <c r="E28" s="62">
        <v>1500</v>
      </c>
      <c r="F28" s="36">
        <v>1500</v>
      </c>
      <c r="G28" s="62">
        <f t="shared" si="0"/>
        <v>2250000</v>
      </c>
      <c r="H28" s="36" t="s">
        <v>382</v>
      </c>
      <c r="I28" s="36" t="s">
        <v>382</v>
      </c>
      <c r="J28" s="36">
        <v>1</v>
      </c>
      <c r="K28" s="58" t="str">
        <f t="shared" si="1"/>
        <v>-</v>
      </c>
      <c r="L28" s="58" t="str">
        <f t="shared" si="2"/>
        <v>-</v>
      </c>
      <c r="M28" s="58">
        <f t="shared" si="3"/>
        <v>5.333333333333333</v>
      </c>
    </row>
    <row r="29" spans="1:58" x14ac:dyDescent="0.55000000000000004">
      <c r="A29" s="34" t="s">
        <v>133</v>
      </c>
      <c r="B29" s="36" t="s">
        <v>382</v>
      </c>
      <c r="C29" s="36">
        <v>6</v>
      </c>
      <c r="D29" s="36" t="s">
        <v>382</v>
      </c>
      <c r="E29" s="62">
        <v>1500</v>
      </c>
      <c r="F29" s="36">
        <v>1500</v>
      </c>
      <c r="G29" s="62">
        <f t="shared" si="0"/>
        <v>2250000</v>
      </c>
      <c r="H29" s="36" t="s">
        <v>382</v>
      </c>
      <c r="I29" s="36">
        <v>1</v>
      </c>
      <c r="J29" s="36" t="s">
        <v>382</v>
      </c>
      <c r="K29" s="58" t="str">
        <f t="shared" si="1"/>
        <v>-</v>
      </c>
      <c r="L29" s="58">
        <f t="shared" si="2"/>
        <v>2.6666666666666665</v>
      </c>
      <c r="M29" s="58" t="str">
        <f t="shared" si="3"/>
        <v>-</v>
      </c>
    </row>
    <row r="30" spans="1:58" x14ac:dyDescent="0.55000000000000004">
      <c r="A30" s="34" t="s">
        <v>136</v>
      </c>
      <c r="B30" s="36" t="s">
        <v>382</v>
      </c>
      <c r="C30" s="36" t="s">
        <v>382</v>
      </c>
      <c r="D30" s="36">
        <v>11</v>
      </c>
      <c r="E30" s="62">
        <v>1500</v>
      </c>
      <c r="F30" s="36">
        <v>1500</v>
      </c>
      <c r="G30" s="62">
        <f t="shared" si="0"/>
        <v>2250000</v>
      </c>
      <c r="H30" s="36" t="s">
        <v>382</v>
      </c>
      <c r="I30" s="36" t="s">
        <v>382</v>
      </c>
      <c r="J30" s="36">
        <v>1</v>
      </c>
      <c r="K30" s="58" t="str">
        <f t="shared" si="1"/>
        <v>-</v>
      </c>
      <c r="L30" s="58" t="str">
        <f t="shared" si="2"/>
        <v>-</v>
      </c>
      <c r="M30" s="58">
        <f t="shared" si="3"/>
        <v>4.8888888888888893</v>
      </c>
    </row>
    <row r="31" spans="1:58" x14ac:dyDescent="0.55000000000000004">
      <c r="A31" s="34" t="s">
        <v>140</v>
      </c>
      <c r="B31" s="36" t="s">
        <v>382</v>
      </c>
      <c r="C31" s="36">
        <v>3</v>
      </c>
      <c r="D31" s="36">
        <v>6</v>
      </c>
      <c r="E31" s="62">
        <v>1000</v>
      </c>
      <c r="F31" s="36">
        <v>1000</v>
      </c>
      <c r="G31" s="62">
        <f t="shared" si="0"/>
        <v>1000000</v>
      </c>
      <c r="H31" s="36" t="s">
        <v>382</v>
      </c>
      <c r="I31" s="36">
        <v>16</v>
      </c>
      <c r="J31" s="36">
        <v>8</v>
      </c>
      <c r="K31" s="58" t="str">
        <f t="shared" si="1"/>
        <v>-</v>
      </c>
      <c r="L31" s="58">
        <f t="shared" si="2"/>
        <v>3</v>
      </c>
      <c r="M31" s="58">
        <f t="shared" si="3"/>
        <v>6</v>
      </c>
    </row>
    <row r="32" spans="1:58" x14ac:dyDescent="0.55000000000000004">
      <c r="A32" s="34" t="s">
        <v>141</v>
      </c>
      <c r="B32" s="36" t="s">
        <v>382</v>
      </c>
      <c r="C32" s="36">
        <v>3</v>
      </c>
      <c r="D32" s="36">
        <v>6</v>
      </c>
      <c r="E32" s="62">
        <v>1000</v>
      </c>
      <c r="F32" s="36">
        <v>1000</v>
      </c>
      <c r="G32" s="62">
        <f t="shared" si="0"/>
        <v>1000000</v>
      </c>
      <c r="H32" s="36" t="s">
        <v>382</v>
      </c>
      <c r="I32" s="36">
        <v>16</v>
      </c>
      <c r="J32" s="36">
        <v>8</v>
      </c>
      <c r="K32" s="58" t="str">
        <f t="shared" si="1"/>
        <v>-</v>
      </c>
      <c r="L32" s="58">
        <f t="shared" si="2"/>
        <v>3</v>
      </c>
      <c r="M32" s="58">
        <f t="shared" si="3"/>
        <v>6</v>
      </c>
    </row>
    <row r="33" spans="1:13" x14ac:dyDescent="0.55000000000000004">
      <c r="A33" s="34" t="s">
        <v>142</v>
      </c>
      <c r="B33" s="36" t="s">
        <v>382</v>
      </c>
      <c r="C33" s="36">
        <v>3</v>
      </c>
      <c r="D33" s="36">
        <v>6</v>
      </c>
      <c r="E33" s="62">
        <v>1000</v>
      </c>
      <c r="F33" s="36">
        <v>1000</v>
      </c>
      <c r="G33" s="62">
        <f t="shared" si="0"/>
        <v>1000000</v>
      </c>
      <c r="H33" s="36" t="s">
        <v>382</v>
      </c>
      <c r="I33" s="36">
        <v>16</v>
      </c>
      <c r="J33" s="36">
        <v>8</v>
      </c>
      <c r="K33" s="58" t="str">
        <f t="shared" si="1"/>
        <v>-</v>
      </c>
      <c r="L33" s="58">
        <f t="shared" si="2"/>
        <v>3</v>
      </c>
      <c r="M33" s="58">
        <f t="shared" si="3"/>
        <v>6</v>
      </c>
    </row>
    <row r="34" spans="1:13" x14ac:dyDescent="0.55000000000000004">
      <c r="A34" s="34" t="s">
        <v>143</v>
      </c>
      <c r="B34" s="36" t="s">
        <v>382</v>
      </c>
      <c r="C34" s="36">
        <v>3</v>
      </c>
      <c r="D34" s="36">
        <v>6</v>
      </c>
      <c r="E34" s="62">
        <v>1000</v>
      </c>
      <c r="F34" s="36">
        <v>1000</v>
      </c>
      <c r="G34" s="62">
        <f>E34*F34</f>
        <v>1000000</v>
      </c>
      <c r="H34" s="36" t="s">
        <v>382</v>
      </c>
      <c r="I34" s="36">
        <v>16</v>
      </c>
      <c r="J34" s="36">
        <v>8</v>
      </c>
      <c r="K34" s="58" t="str">
        <f t="shared" si="1"/>
        <v>-</v>
      </c>
      <c r="L34" s="58">
        <f t="shared" si="2"/>
        <v>3</v>
      </c>
      <c r="M34" s="58">
        <f t="shared" si="3"/>
        <v>6</v>
      </c>
    </row>
    <row r="37" spans="1:13" x14ac:dyDescent="0.55000000000000004">
      <c r="A37" s="45"/>
    </row>
  </sheetData>
  <mergeCells count="27">
    <mergeCell ref="BC2:BF2"/>
    <mergeCell ref="AK2:AN2"/>
    <mergeCell ref="AQ2:AT2"/>
    <mergeCell ref="AV2:AV3"/>
    <mergeCell ref="AW2:AZ2"/>
    <mergeCell ref="BB2:BB3"/>
    <mergeCell ref="BB1:BF1"/>
    <mergeCell ref="O2:O3"/>
    <mergeCell ref="P2:P3"/>
    <mergeCell ref="R2:R3"/>
    <mergeCell ref="S2:V2"/>
    <mergeCell ref="X2:X3"/>
    <mergeCell ref="X1:AB1"/>
    <mergeCell ref="AP2:AP3"/>
    <mergeCell ref="AD1:AH1"/>
    <mergeCell ref="AJ1:AN1"/>
    <mergeCell ref="AP1:AT1"/>
    <mergeCell ref="AV1:AZ1"/>
    <mergeCell ref="Y2:AB2"/>
    <mergeCell ref="AD2:AD3"/>
    <mergeCell ref="AE2:AH2"/>
    <mergeCell ref="AJ2:AJ3"/>
    <mergeCell ref="A1:G1"/>
    <mergeCell ref="H1:J1"/>
    <mergeCell ref="K1:M1"/>
    <mergeCell ref="O1:P1"/>
    <mergeCell ref="R1:V1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B1048576"/>
  <sheetViews>
    <sheetView zoomScale="85" zoomScaleNormal="85" workbookViewId="0">
      <selection activeCell="D2" sqref="D2"/>
    </sheetView>
  </sheetViews>
  <sheetFormatPr baseColWidth="10" defaultRowHeight="14.4" x14ac:dyDescent="0.55000000000000004"/>
  <cols>
    <col min="1" max="2" width="3.68359375" bestFit="1" customWidth="1"/>
    <col min="3" max="3" width="18.83984375" bestFit="1" customWidth="1"/>
    <col min="4" max="5" width="7" style="45" bestFit="1" customWidth="1"/>
    <col min="6" max="7" width="6" style="45" bestFit="1" customWidth="1"/>
    <col min="8" max="22" width="7" style="45" bestFit="1" customWidth="1"/>
    <col min="23" max="23" width="6.83984375" style="45" bestFit="1" customWidth="1"/>
    <col min="24" max="24" width="7" style="45" bestFit="1" customWidth="1"/>
    <col min="25" max="25" width="6.83984375" style="45" bestFit="1" customWidth="1"/>
    <col min="26" max="26" width="7" style="45" bestFit="1" customWidth="1"/>
    <col min="27" max="27" width="4.41796875" customWidth="1"/>
    <col min="28" max="28" width="7.578125" bestFit="1" customWidth="1"/>
    <col min="29" max="29" width="18.41796875" bestFit="1" customWidth="1"/>
    <col min="30" max="30" width="2" bestFit="1" customWidth="1"/>
    <col min="31" max="31" width="7.83984375" bestFit="1" customWidth="1"/>
    <col min="32" max="37" width="5.83984375" bestFit="1" customWidth="1"/>
    <col min="38" max="54" width="6.83984375" bestFit="1" customWidth="1"/>
    <col min="55" max="55" width="6" bestFit="1" customWidth="1"/>
    <col min="56" max="56" width="5" bestFit="1" customWidth="1"/>
    <col min="57" max="57" width="6" bestFit="1" customWidth="1"/>
    <col min="58" max="58" width="3" bestFit="1" customWidth="1"/>
    <col min="59" max="59" width="6" bestFit="1" customWidth="1"/>
    <col min="60" max="60" width="5" bestFit="1" customWidth="1"/>
    <col min="61" max="61" width="6" bestFit="1" customWidth="1"/>
    <col min="62" max="62" width="3" bestFit="1" customWidth="1"/>
    <col min="63" max="63" width="6" bestFit="1" customWidth="1"/>
    <col min="64" max="64" width="5" bestFit="1" customWidth="1"/>
    <col min="65" max="65" width="6" bestFit="1" customWidth="1"/>
    <col min="66" max="66" width="3" bestFit="1" customWidth="1"/>
    <col min="67" max="67" width="6" bestFit="1" customWidth="1"/>
    <col min="68" max="68" width="5" bestFit="1" customWidth="1"/>
    <col min="69" max="69" width="6" bestFit="1" customWidth="1"/>
    <col min="70" max="70" width="3" bestFit="1" customWidth="1"/>
    <col min="71" max="71" width="6" bestFit="1" customWidth="1"/>
    <col min="72" max="72" width="5" bestFit="1" customWidth="1"/>
    <col min="73" max="73" width="6" bestFit="1" customWidth="1"/>
    <col min="74" max="74" width="3" bestFit="1" customWidth="1"/>
  </cols>
  <sheetData>
    <row r="1" spans="1:54" x14ac:dyDescent="0.55000000000000004">
      <c r="C1" s="48" t="s">
        <v>108</v>
      </c>
      <c r="D1" s="55">
        <v>0.4375</v>
      </c>
      <c r="E1" s="55">
        <v>0.5</v>
      </c>
      <c r="F1" s="55">
        <v>0.5625</v>
      </c>
      <c r="G1" s="55">
        <v>0.625</v>
      </c>
      <c r="H1" s="55">
        <v>0.75</v>
      </c>
      <c r="I1" s="55">
        <v>0.875</v>
      </c>
      <c r="J1" s="55">
        <v>1</v>
      </c>
      <c r="K1" s="55">
        <v>1.125</v>
      </c>
      <c r="L1" s="55">
        <v>1.25</v>
      </c>
      <c r="M1" s="55">
        <v>1.375</v>
      </c>
      <c r="N1" s="55">
        <v>1.5</v>
      </c>
      <c r="O1" s="55">
        <v>1.625</v>
      </c>
      <c r="P1" s="55">
        <v>1.75</v>
      </c>
      <c r="Q1" s="55">
        <v>1.875</v>
      </c>
      <c r="R1" s="55">
        <v>2</v>
      </c>
      <c r="S1" s="55">
        <v>2.25</v>
      </c>
      <c r="T1" s="55">
        <v>2.5</v>
      </c>
      <c r="U1" s="55">
        <v>2.75</v>
      </c>
      <c r="V1" s="55">
        <v>3</v>
      </c>
      <c r="W1" s="55">
        <v>3.25</v>
      </c>
      <c r="X1" s="55">
        <v>3.5</v>
      </c>
      <c r="Y1" s="55">
        <v>3.75</v>
      </c>
      <c r="Z1" s="55">
        <v>4</v>
      </c>
      <c r="AC1" s="50" t="s">
        <v>473</v>
      </c>
      <c r="AF1" s="55">
        <v>0.4375</v>
      </c>
      <c r="AG1" s="55">
        <v>0.5</v>
      </c>
      <c r="AH1" s="55">
        <v>0.5625</v>
      </c>
      <c r="AI1" s="55">
        <v>0.625</v>
      </c>
      <c r="AJ1" s="55">
        <v>0.75</v>
      </c>
      <c r="AK1" s="55">
        <v>0.875</v>
      </c>
      <c r="AL1" s="55">
        <v>1</v>
      </c>
      <c r="AM1" s="55">
        <v>1.125</v>
      </c>
      <c r="AN1" s="55">
        <v>1.25</v>
      </c>
      <c r="AO1" s="55">
        <v>1.375</v>
      </c>
      <c r="AP1" s="55">
        <v>1.5</v>
      </c>
      <c r="AQ1" s="55">
        <v>1.625</v>
      </c>
      <c r="AR1" s="55">
        <v>1.75</v>
      </c>
      <c r="AS1" s="55">
        <v>1.875</v>
      </c>
      <c r="AT1" s="55">
        <v>2</v>
      </c>
      <c r="AU1" s="55">
        <v>2.25</v>
      </c>
      <c r="AV1" s="55">
        <v>2.5</v>
      </c>
      <c r="AW1" s="55">
        <v>2.75</v>
      </c>
      <c r="AX1" s="55">
        <v>3</v>
      </c>
      <c r="AY1" s="55">
        <v>3.25</v>
      </c>
      <c r="AZ1" s="55">
        <v>3.5</v>
      </c>
      <c r="BA1" s="55">
        <v>3.75</v>
      </c>
      <c r="BB1" s="55">
        <v>4</v>
      </c>
    </row>
    <row r="2" spans="1:54" x14ac:dyDescent="0.55000000000000004">
      <c r="C2" s="48" t="s">
        <v>474</v>
      </c>
      <c r="D2" s="49">
        <v>22</v>
      </c>
      <c r="E2" s="49">
        <v>25.4</v>
      </c>
      <c r="F2" s="49">
        <v>27</v>
      </c>
      <c r="G2" s="49">
        <v>31.2</v>
      </c>
      <c r="H2" s="49">
        <v>35.700000000000003</v>
      </c>
      <c r="I2" s="49">
        <v>41.6</v>
      </c>
      <c r="J2" s="49">
        <v>47.2</v>
      </c>
      <c r="K2" s="49">
        <v>52</v>
      </c>
      <c r="L2" s="49">
        <v>57.8</v>
      </c>
      <c r="M2" s="49">
        <v>63.5</v>
      </c>
      <c r="N2" s="49">
        <v>69.3</v>
      </c>
      <c r="O2" s="49">
        <v>75</v>
      </c>
      <c r="P2" s="49">
        <v>78.599999999999994</v>
      </c>
      <c r="Q2" s="49">
        <v>85.5</v>
      </c>
      <c r="R2" s="49">
        <v>90</v>
      </c>
      <c r="S2" s="49">
        <v>100</v>
      </c>
      <c r="T2" s="49">
        <v>11.6</v>
      </c>
      <c r="U2" s="49">
        <v>124.3</v>
      </c>
      <c r="V2" s="49">
        <v>135.30000000000001</v>
      </c>
      <c r="W2" s="49">
        <v>146.5</v>
      </c>
      <c r="X2" s="49">
        <v>157.19999999999999</v>
      </c>
      <c r="Y2" s="49">
        <v>168.6</v>
      </c>
      <c r="Z2" s="49">
        <v>179.5</v>
      </c>
      <c r="AB2" s="51" t="s">
        <v>102</v>
      </c>
      <c r="AC2" s="49">
        <v>250</v>
      </c>
      <c r="AE2" s="54">
        <v>2</v>
      </c>
      <c r="AF2" t="str">
        <f>IF($AE2&gt;=(4*AF$1),"X","")</f>
        <v>X</v>
      </c>
      <c r="AG2" t="str">
        <f t="shared" ref="AG2:BB13" si="0">IF($AE2&gt;=(4*AG$1),"X","")</f>
        <v>X</v>
      </c>
      <c r="AH2" t="str">
        <f t="shared" si="0"/>
        <v/>
      </c>
      <c r="AI2" t="str">
        <f t="shared" si="0"/>
        <v/>
      </c>
      <c r="AJ2" t="str">
        <f t="shared" si="0"/>
        <v/>
      </c>
      <c r="AK2" t="str">
        <f t="shared" si="0"/>
        <v/>
      </c>
      <c r="AL2" t="str">
        <f t="shared" si="0"/>
        <v/>
      </c>
      <c r="AM2" t="str">
        <f t="shared" si="0"/>
        <v/>
      </c>
      <c r="AN2" t="str">
        <f t="shared" si="0"/>
        <v/>
      </c>
      <c r="AO2" t="str">
        <f t="shared" si="0"/>
        <v/>
      </c>
      <c r="AP2" t="str">
        <f t="shared" si="0"/>
        <v/>
      </c>
      <c r="AQ2" t="str">
        <f t="shared" si="0"/>
        <v/>
      </c>
      <c r="AR2" t="str">
        <f t="shared" si="0"/>
        <v/>
      </c>
      <c r="AS2" t="str">
        <f t="shared" si="0"/>
        <v/>
      </c>
      <c r="AT2" t="str">
        <f t="shared" si="0"/>
        <v/>
      </c>
      <c r="AU2" t="str">
        <f t="shared" si="0"/>
        <v/>
      </c>
      <c r="AV2" t="str">
        <f t="shared" si="0"/>
        <v/>
      </c>
      <c r="AW2" t="str">
        <f t="shared" si="0"/>
        <v/>
      </c>
      <c r="AX2" t="str">
        <f t="shared" si="0"/>
        <v/>
      </c>
      <c r="AY2" t="str">
        <f t="shared" si="0"/>
        <v/>
      </c>
      <c r="AZ2" t="str">
        <f t="shared" si="0"/>
        <v/>
      </c>
      <c r="BA2" t="str">
        <f t="shared" si="0"/>
        <v/>
      </c>
      <c r="BB2" t="str">
        <f t="shared" si="0"/>
        <v/>
      </c>
    </row>
    <row r="3" spans="1:54" x14ac:dyDescent="0.55000000000000004">
      <c r="C3" s="48" t="s">
        <v>475</v>
      </c>
      <c r="D3" s="49">
        <v>19</v>
      </c>
      <c r="E3" s="49">
        <v>22.2</v>
      </c>
      <c r="F3" s="49">
        <v>23.8</v>
      </c>
      <c r="G3" s="49">
        <v>27</v>
      </c>
      <c r="H3" s="49">
        <v>31.7</v>
      </c>
      <c r="I3" s="49">
        <v>26.5</v>
      </c>
      <c r="J3" s="49">
        <v>41.2</v>
      </c>
      <c r="K3" s="49">
        <v>46</v>
      </c>
      <c r="L3" s="49">
        <v>50.8</v>
      </c>
      <c r="M3" s="49">
        <v>55.5</v>
      </c>
      <c r="N3" s="49">
        <v>60.3</v>
      </c>
      <c r="O3" s="49">
        <v>65</v>
      </c>
      <c r="P3" s="49">
        <v>69.8</v>
      </c>
      <c r="Q3" s="49">
        <v>74.599999999999994</v>
      </c>
      <c r="R3" s="49">
        <v>79.3</v>
      </c>
      <c r="S3" s="49">
        <v>88.9</v>
      </c>
      <c r="T3" s="49">
        <v>98.4</v>
      </c>
      <c r="U3" s="49">
        <v>108</v>
      </c>
      <c r="V3" s="49">
        <v>118</v>
      </c>
      <c r="W3" s="49">
        <v>127</v>
      </c>
      <c r="X3" s="49">
        <v>136.5</v>
      </c>
      <c r="Y3" s="49">
        <v>146</v>
      </c>
      <c r="Z3" s="49">
        <v>155.6</v>
      </c>
      <c r="AB3" s="51" t="s">
        <v>476</v>
      </c>
      <c r="AC3" s="49">
        <v>100</v>
      </c>
      <c r="AE3" s="54">
        <v>2.25</v>
      </c>
      <c r="AF3" t="str">
        <f t="shared" ref="AF3:AU29" si="1">IF($AE3&gt;=(4*AF$1),"X","")</f>
        <v>X</v>
      </c>
      <c r="AG3" t="str">
        <f t="shared" si="0"/>
        <v>X</v>
      </c>
      <c r="AH3" t="str">
        <f t="shared" si="0"/>
        <v>X</v>
      </c>
      <c r="AI3" t="str">
        <f t="shared" si="0"/>
        <v/>
      </c>
      <c r="AJ3" t="str">
        <f t="shared" si="0"/>
        <v/>
      </c>
      <c r="AK3" t="str">
        <f t="shared" si="0"/>
        <v/>
      </c>
      <c r="AL3" t="str">
        <f t="shared" si="0"/>
        <v/>
      </c>
      <c r="AM3" t="str">
        <f t="shared" si="0"/>
        <v/>
      </c>
      <c r="AN3" t="str">
        <f t="shared" si="0"/>
        <v/>
      </c>
      <c r="AO3" t="str">
        <f t="shared" si="0"/>
        <v/>
      </c>
      <c r="AP3" t="str">
        <f t="shared" si="0"/>
        <v/>
      </c>
      <c r="AQ3" t="str">
        <f t="shared" si="0"/>
        <v/>
      </c>
      <c r="AR3" t="str">
        <f t="shared" si="0"/>
        <v/>
      </c>
      <c r="AS3" t="str">
        <f t="shared" si="0"/>
        <v/>
      </c>
      <c r="AT3" t="str">
        <f t="shared" si="0"/>
        <v/>
      </c>
      <c r="AU3" t="str">
        <f t="shared" si="0"/>
        <v/>
      </c>
      <c r="AV3" t="str">
        <f t="shared" si="0"/>
        <v/>
      </c>
      <c r="AW3" t="str">
        <f t="shared" si="0"/>
        <v/>
      </c>
      <c r="AX3" t="str">
        <f t="shared" si="0"/>
        <v/>
      </c>
      <c r="AY3" t="str">
        <f t="shared" si="0"/>
        <v/>
      </c>
      <c r="AZ3" t="str">
        <f t="shared" si="0"/>
        <v/>
      </c>
      <c r="BA3" t="str">
        <f t="shared" si="0"/>
        <v/>
      </c>
      <c r="BB3" t="str">
        <f t="shared" si="0"/>
        <v/>
      </c>
    </row>
    <row r="4" spans="1:54" x14ac:dyDescent="0.55000000000000004">
      <c r="C4" s="48" t="s">
        <v>477</v>
      </c>
      <c r="D4" s="49">
        <v>10.7</v>
      </c>
      <c r="E4" s="49">
        <v>12.3</v>
      </c>
      <c r="F4" s="49">
        <v>13.9</v>
      </c>
      <c r="G4" s="49">
        <v>15.5</v>
      </c>
      <c r="H4" s="49">
        <v>18.7</v>
      </c>
      <c r="I4" s="49">
        <v>21.8</v>
      </c>
      <c r="J4" s="49">
        <v>25</v>
      </c>
      <c r="K4" s="49">
        <v>28.2</v>
      </c>
      <c r="L4" s="49">
        <v>31</v>
      </c>
      <c r="M4" s="49">
        <v>34.1</v>
      </c>
      <c r="N4" s="49">
        <v>37.299999999999997</v>
      </c>
      <c r="O4" s="49">
        <v>40.5</v>
      </c>
      <c r="P4" s="49">
        <v>43.6</v>
      </c>
      <c r="Q4" s="49">
        <v>46.8</v>
      </c>
      <c r="R4" s="49">
        <v>50</v>
      </c>
      <c r="S4" s="49">
        <v>56</v>
      </c>
      <c r="T4" s="49">
        <v>62.3</v>
      </c>
      <c r="U4" s="49">
        <v>70</v>
      </c>
      <c r="V4" s="49">
        <v>76.2</v>
      </c>
      <c r="W4" s="49">
        <v>80.900000000000006</v>
      </c>
      <c r="X4" s="49">
        <v>87.3</v>
      </c>
      <c r="Y4" s="49">
        <v>93.7</v>
      </c>
      <c r="Z4" s="49">
        <v>100</v>
      </c>
      <c r="AB4" s="51" t="s">
        <v>478</v>
      </c>
      <c r="AC4" s="49">
        <v>300</v>
      </c>
      <c r="AE4" s="54">
        <v>2.5</v>
      </c>
      <c r="AF4" t="str">
        <f t="shared" si="1"/>
        <v>X</v>
      </c>
      <c r="AG4" t="str">
        <f t="shared" si="0"/>
        <v>X</v>
      </c>
      <c r="AH4" t="str">
        <f t="shared" si="0"/>
        <v>X</v>
      </c>
      <c r="AI4" t="str">
        <f t="shared" si="0"/>
        <v>X</v>
      </c>
      <c r="AJ4" t="str">
        <f t="shared" si="0"/>
        <v/>
      </c>
      <c r="AK4" t="str">
        <f t="shared" si="0"/>
        <v/>
      </c>
      <c r="AL4" t="str">
        <f t="shared" si="0"/>
        <v/>
      </c>
      <c r="AM4" t="str">
        <f t="shared" si="0"/>
        <v/>
      </c>
      <c r="AN4" t="str">
        <f t="shared" si="0"/>
        <v/>
      </c>
      <c r="AO4" t="str">
        <f t="shared" si="0"/>
        <v/>
      </c>
      <c r="AP4" t="str">
        <f t="shared" si="0"/>
        <v/>
      </c>
      <c r="AQ4" t="str">
        <f t="shared" si="0"/>
        <v/>
      </c>
      <c r="AR4" t="str">
        <f t="shared" si="0"/>
        <v/>
      </c>
      <c r="AS4" t="str">
        <f t="shared" si="0"/>
        <v/>
      </c>
      <c r="AT4" t="str">
        <f t="shared" si="0"/>
        <v/>
      </c>
      <c r="AU4" t="str">
        <f t="shared" si="0"/>
        <v/>
      </c>
      <c r="AV4" t="str">
        <f t="shared" si="0"/>
        <v/>
      </c>
      <c r="AW4" t="str">
        <f t="shared" si="0"/>
        <v/>
      </c>
      <c r="AX4" t="str">
        <f t="shared" si="0"/>
        <v/>
      </c>
      <c r="AY4" t="str">
        <f t="shared" si="0"/>
        <v/>
      </c>
      <c r="AZ4" t="str">
        <f t="shared" si="0"/>
        <v/>
      </c>
      <c r="BA4" t="str">
        <f t="shared" si="0"/>
        <v/>
      </c>
      <c r="BB4" t="str">
        <f t="shared" si="0"/>
        <v/>
      </c>
    </row>
    <row r="5" spans="1:54" x14ac:dyDescent="0.55000000000000004">
      <c r="C5" s="48" t="s">
        <v>479</v>
      </c>
      <c r="D5" s="49">
        <v>1000</v>
      </c>
      <c r="E5" s="49">
        <v>660</v>
      </c>
      <c r="F5" s="49">
        <v>540</v>
      </c>
      <c r="G5" s="49">
        <v>370</v>
      </c>
      <c r="H5" s="49">
        <v>225</v>
      </c>
      <c r="I5" s="49">
        <v>145</v>
      </c>
      <c r="J5" s="49">
        <v>100</v>
      </c>
      <c r="K5" s="49">
        <v>75</v>
      </c>
      <c r="L5" s="49">
        <v>55</v>
      </c>
      <c r="M5" s="49">
        <v>42</v>
      </c>
      <c r="N5" s="49">
        <v>34</v>
      </c>
      <c r="O5" s="49">
        <v>27</v>
      </c>
      <c r="P5" s="49">
        <v>22</v>
      </c>
      <c r="Q5" s="49">
        <v>18</v>
      </c>
      <c r="R5" s="49">
        <v>15</v>
      </c>
      <c r="S5" s="49">
        <v>10</v>
      </c>
      <c r="T5" s="49">
        <v>8</v>
      </c>
      <c r="U5" s="49">
        <v>6</v>
      </c>
      <c r="V5" s="49">
        <v>5</v>
      </c>
      <c r="W5" s="49">
        <v>4</v>
      </c>
      <c r="X5" s="49">
        <v>3</v>
      </c>
      <c r="Y5" s="49">
        <v>2</v>
      </c>
      <c r="Z5" s="49">
        <v>2</v>
      </c>
      <c r="AE5" s="54">
        <v>2.75</v>
      </c>
      <c r="AF5" t="str">
        <f t="shared" si="1"/>
        <v>X</v>
      </c>
      <c r="AG5" t="str">
        <f t="shared" si="0"/>
        <v>X</v>
      </c>
      <c r="AH5" t="str">
        <f t="shared" si="0"/>
        <v>X</v>
      </c>
      <c r="AI5" t="str">
        <f t="shared" si="0"/>
        <v>X</v>
      </c>
      <c r="AJ5" t="str">
        <f t="shared" si="0"/>
        <v/>
      </c>
      <c r="AK5" t="str">
        <f t="shared" si="0"/>
        <v/>
      </c>
      <c r="AL5" t="str">
        <f t="shared" si="0"/>
        <v/>
      </c>
      <c r="AM5" t="str">
        <f t="shared" si="0"/>
        <v/>
      </c>
      <c r="AN5" t="str">
        <f t="shared" si="0"/>
        <v/>
      </c>
      <c r="AO5" t="str">
        <f t="shared" si="0"/>
        <v/>
      </c>
      <c r="AP5" t="str">
        <f t="shared" si="0"/>
        <v/>
      </c>
      <c r="AQ5" t="str">
        <f t="shared" si="0"/>
        <v/>
      </c>
      <c r="AR5" t="str">
        <f t="shared" si="0"/>
        <v/>
      </c>
      <c r="AS5" t="str">
        <f t="shared" si="0"/>
        <v/>
      </c>
      <c r="AT5" t="str">
        <f t="shared" si="0"/>
        <v/>
      </c>
      <c r="AU5" t="str">
        <f t="shared" si="0"/>
        <v/>
      </c>
      <c r="AV5" t="str">
        <f t="shared" si="0"/>
        <v/>
      </c>
      <c r="AW5" t="str">
        <f t="shared" si="0"/>
        <v/>
      </c>
      <c r="AX5" t="str">
        <f t="shared" si="0"/>
        <v/>
      </c>
      <c r="AY5" t="str">
        <f t="shared" si="0"/>
        <v/>
      </c>
      <c r="AZ5" t="str">
        <f t="shared" si="0"/>
        <v/>
      </c>
      <c r="BA5" t="str">
        <f t="shared" si="0"/>
        <v/>
      </c>
      <c r="BB5" t="str">
        <f t="shared" si="0"/>
        <v/>
      </c>
    </row>
    <row r="6" spans="1:54" x14ac:dyDescent="0.55000000000000004">
      <c r="C6" s="52" t="s">
        <v>480</v>
      </c>
      <c r="D6" s="49">
        <v>1.52E-2</v>
      </c>
      <c r="E6" s="49">
        <v>2.0899999999999998E-2</v>
      </c>
      <c r="F6" s="49">
        <v>2.5899999999999999E-2</v>
      </c>
      <c r="G6" s="49">
        <v>3.3000000000000002E-2</v>
      </c>
      <c r="H6" s="49">
        <v>4.8599999999999997E-2</v>
      </c>
      <c r="I6" s="49">
        <v>6.6600000000000006E-2</v>
      </c>
      <c r="J6" s="49">
        <v>8.7400000000000005E-2</v>
      </c>
      <c r="K6" s="49">
        <v>0.11260000000000001</v>
      </c>
      <c r="L6" s="49">
        <v>0.14119999999999999</v>
      </c>
      <c r="M6" s="49">
        <v>0.1729</v>
      </c>
      <c r="N6" s="49">
        <v>0.20830000000000001</v>
      </c>
      <c r="O6" s="49">
        <v>0.2465</v>
      </c>
      <c r="P6" s="49">
        <v>0.28860000000000002</v>
      </c>
      <c r="Q6" s="49">
        <v>0.33279999999999998</v>
      </c>
      <c r="R6" s="49">
        <v>0.37959999999999999</v>
      </c>
      <c r="S6" s="49">
        <v>0.48620000000000002</v>
      </c>
      <c r="T6" s="49">
        <v>0.60580000000000001</v>
      </c>
      <c r="U6" s="49">
        <v>0.73580000000000001</v>
      </c>
      <c r="V6" s="49">
        <v>0.88139999999999996</v>
      </c>
      <c r="W6" s="49">
        <v>1.0529999999999999</v>
      </c>
      <c r="X6" s="49">
        <v>1.2272000000000001</v>
      </c>
      <c r="Y6" s="49">
        <v>1.3779999999999999</v>
      </c>
      <c r="Z6" s="49">
        <v>1.5829</v>
      </c>
      <c r="AE6" s="54">
        <v>3</v>
      </c>
      <c r="AF6" t="str">
        <f t="shared" si="1"/>
        <v>X</v>
      </c>
      <c r="AG6" t="str">
        <f t="shared" si="0"/>
        <v>X</v>
      </c>
      <c r="AH6" t="str">
        <f t="shared" si="0"/>
        <v>X</v>
      </c>
      <c r="AI6" t="str">
        <f t="shared" si="0"/>
        <v>X</v>
      </c>
      <c r="AJ6" t="str">
        <f t="shared" si="0"/>
        <v>X</v>
      </c>
      <c r="AK6" t="str">
        <f t="shared" si="0"/>
        <v/>
      </c>
      <c r="AL6" t="str">
        <f t="shared" si="0"/>
        <v/>
      </c>
      <c r="AM6" t="str">
        <f t="shared" si="0"/>
        <v/>
      </c>
      <c r="AN6" t="str">
        <f t="shared" si="0"/>
        <v/>
      </c>
      <c r="AO6" t="str">
        <f t="shared" si="0"/>
        <v/>
      </c>
      <c r="AP6" t="str">
        <f t="shared" si="0"/>
        <v/>
      </c>
      <c r="AQ6" t="str">
        <f t="shared" si="0"/>
        <v/>
      </c>
      <c r="AR6" t="str">
        <f t="shared" si="0"/>
        <v/>
      </c>
      <c r="AS6" t="str">
        <f t="shared" si="0"/>
        <v/>
      </c>
      <c r="AT6" t="str">
        <f t="shared" si="0"/>
        <v/>
      </c>
      <c r="AU6" t="str">
        <f t="shared" si="0"/>
        <v/>
      </c>
      <c r="AV6" t="str">
        <f t="shared" si="0"/>
        <v/>
      </c>
      <c r="AW6" t="str">
        <f t="shared" si="0"/>
        <v/>
      </c>
      <c r="AX6" t="str">
        <f t="shared" si="0"/>
        <v/>
      </c>
      <c r="AY6" t="str">
        <f t="shared" si="0"/>
        <v/>
      </c>
      <c r="AZ6" t="str">
        <f t="shared" si="0"/>
        <v/>
      </c>
      <c r="BA6" t="str">
        <f t="shared" si="0"/>
        <v/>
      </c>
      <c r="BB6" t="str">
        <f t="shared" si="0"/>
        <v/>
      </c>
    </row>
    <row r="7" spans="1:54" x14ac:dyDescent="0.55000000000000004">
      <c r="C7" s="52" t="s">
        <v>481</v>
      </c>
      <c r="D7" s="49">
        <v>1.9E-2</v>
      </c>
      <c r="E7" s="49">
        <v>0.03</v>
      </c>
      <c r="F7" s="49">
        <v>3.7000000000000005E-2</v>
      </c>
      <c r="G7" s="49">
        <v>5.4000000000000006E-2</v>
      </c>
      <c r="H7" s="49">
        <v>8.8000000000000009E-2</v>
      </c>
      <c r="I7" s="49">
        <v>0.13500000000000001</v>
      </c>
      <c r="J7" s="49">
        <v>0.193</v>
      </c>
      <c r="K7" s="49">
        <v>0.26899999999999996</v>
      </c>
      <c r="L7" s="49">
        <v>0.35700000000000004</v>
      </c>
      <c r="M7" s="49">
        <v>0.46299999999999997</v>
      </c>
      <c r="N7" s="49">
        <v>0.59499999999999997</v>
      </c>
      <c r="O7" s="49">
        <v>0.73599999999999999</v>
      </c>
      <c r="P7" s="49">
        <v>0.92700000000000005</v>
      </c>
      <c r="Q7" s="49">
        <v>1.095</v>
      </c>
      <c r="R7" s="49">
        <v>1.3580000000000001</v>
      </c>
      <c r="S7" s="49">
        <v>1.903</v>
      </c>
      <c r="T7" s="49">
        <v>2.56</v>
      </c>
      <c r="U7" s="49">
        <v>3.35</v>
      </c>
      <c r="V7" s="49">
        <v>4.32</v>
      </c>
      <c r="W7" s="49">
        <v>5.43</v>
      </c>
      <c r="X7" s="49">
        <v>6.94</v>
      </c>
      <c r="Y7" s="49">
        <v>8.24</v>
      </c>
      <c r="Z7" s="49">
        <v>9.91</v>
      </c>
      <c r="AE7" s="54">
        <v>3.25</v>
      </c>
      <c r="AF7" t="str">
        <f t="shared" si="1"/>
        <v>X</v>
      </c>
      <c r="AG7" t="str">
        <f t="shared" si="0"/>
        <v>X</v>
      </c>
      <c r="AH7" t="str">
        <f t="shared" si="0"/>
        <v>X</v>
      </c>
      <c r="AI7" t="str">
        <f t="shared" si="0"/>
        <v>X</v>
      </c>
      <c r="AJ7" t="str">
        <f t="shared" si="0"/>
        <v>X</v>
      </c>
      <c r="AK7" t="str">
        <f t="shared" si="0"/>
        <v/>
      </c>
      <c r="AL7" t="str">
        <f t="shared" si="0"/>
        <v/>
      </c>
      <c r="AM7" t="str">
        <f t="shared" si="0"/>
        <v/>
      </c>
      <c r="AN7" t="str">
        <f t="shared" si="0"/>
        <v/>
      </c>
      <c r="AO7" t="str">
        <f t="shared" si="0"/>
        <v/>
      </c>
      <c r="AP7" t="str">
        <f t="shared" si="0"/>
        <v/>
      </c>
      <c r="AQ7" t="str">
        <f t="shared" si="0"/>
        <v/>
      </c>
      <c r="AR7" t="str">
        <f t="shared" si="0"/>
        <v/>
      </c>
      <c r="AS7" t="str">
        <f t="shared" si="0"/>
        <v/>
      </c>
      <c r="AT7" t="str">
        <f t="shared" si="0"/>
        <v/>
      </c>
      <c r="AU7" t="str">
        <f t="shared" si="0"/>
        <v/>
      </c>
      <c r="AV7" t="str">
        <f t="shared" si="0"/>
        <v/>
      </c>
      <c r="AW7" t="str">
        <f t="shared" si="0"/>
        <v/>
      </c>
      <c r="AX7" t="str">
        <f t="shared" si="0"/>
        <v/>
      </c>
      <c r="AY7" t="str">
        <f t="shared" si="0"/>
        <v/>
      </c>
      <c r="AZ7" t="str">
        <f t="shared" si="0"/>
        <v/>
      </c>
      <c r="BA7" t="str">
        <f t="shared" si="0"/>
        <v/>
      </c>
      <c r="BB7" t="str">
        <f t="shared" si="0"/>
        <v/>
      </c>
    </row>
    <row r="8" spans="1:54" x14ac:dyDescent="0.55000000000000004">
      <c r="A8" s="83" t="s">
        <v>482</v>
      </c>
      <c r="B8" s="83" t="s">
        <v>369</v>
      </c>
      <c r="C8" s="54">
        <v>2</v>
      </c>
      <c r="D8" s="36">
        <f>IF($C8&gt;=(4*D$82),((ROUNDUP((IF(((D$6*$C8+2*D$7)*(ROUNDDOWN($AC$2/D$2,0)*ROUNDDOWN($AC$3/D$3,0)*ROUNDDOWN($AC$4/($C8*25.4),0)))&lt;=20,((ROUNDDOWN($AC$2/D$2,0))*(ROUNDDOWN($AC$3/D$3,0))*(ROUNDDOWN($AC$4/($C8*25.4),0))),20/(D$6*$C8+2*D$7)))/10,0))*10),"-")</f>
        <v>280</v>
      </c>
      <c r="E8" s="36">
        <f t="shared" ref="E8:Z19" si="2">IF($C8&gt;=(4*E$82),((ROUNDUP((IF(((E$6*$C8+2*E$7)*(ROUNDDOWN($AC$2/E$2,0)*ROUNDDOWN($AC$3/E$3,0)*ROUNDDOWN($AC$4/($C8*25.4),0)))&lt;=20,((ROUNDDOWN($AC$2/E$2,0))*(ROUNDDOWN($AC$3/E$3,0))*(ROUNDDOWN($AC$4/($C8*25.4),0))),20/(E$6*$C8+2*E$7)))/10,0))*10),"-")</f>
        <v>180</v>
      </c>
      <c r="F8" s="36" t="str">
        <f t="shared" si="2"/>
        <v>-</v>
      </c>
      <c r="G8" s="36" t="str">
        <f t="shared" si="2"/>
        <v>-</v>
      </c>
      <c r="H8" s="36" t="str">
        <f t="shared" si="2"/>
        <v>-</v>
      </c>
      <c r="I8" s="36" t="str">
        <f t="shared" si="2"/>
        <v>-</v>
      </c>
      <c r="J8" s="36" t="str">
        <f t="shared" si="2"/>
        <v>-</v>
      </c>
      <c r="K8" s="36" t="str">
        <f t="shared" si="2"/>
        <v>-</v>
      </c>
      <c r="L8" s="36" t="str">
        <f t="shared" si="2"/>
        <v>-</v>
      </c>
      <c r="M8" s="36" t="str">
        <f t="shared" si="2"/>
        <v>-</v>
      </c>
      <c r="N8" s="36" t="str">
        <f t="shared" si="2"/>
        <v>-</v>
      </c>
      <c r="O8" s="36" t="str">
        <f t="shared" si="2"/>
        <v>-</v>
      </c>
      <c r="P8" s="36" t="str">
        <f t="shared" si="2"/>
        <v>-</v>
      </c>
      <c r="Q8" s="36" t="str">
        <f t="shared" si="2"/>
        <v>-</v>
      </c>
      <c r="R8" s="36" t="str">
        <f t="shared" si="2"/>
        <v>-</v>
      </c>
      <c r="S8" s="36" t="str">
        <f t="shared" si="2"/>
        <v>-</v>
      </c>
      <c r="T8" s="36" t="str">
        <f t="shared" si="2"/>
        <v>-</v>
      </c>
      <c r="U8" s="36" t="str">
        <f t="shared" si="2"/>
        <v>-</v>
      </c>
      <c r="V8" s="36" t="str">
        <f t="shared" si="2"/>
        <v>-</v>
      </c>
      <c r="W8" s="36" t="str">
        <f t="shared" si="2"/>
        <v>-</v>
      </c>
      <c r="X8" s="36" t="str">
        <f t="shared" si="2"/>
        <v>-</v>
      </c>
      <c r="Y8" s="36" t="str">
        <f t="shared" si="2"/>
        <v>-</v>
      </c>
      <c r="Z8" s="36" t="str">
        <f t="shared" si="2"/>
        <v>-</v>
      </c>
      <c r="AE8" s="54">
        <v>3.5</v>
      </c>
      <c r="AF8" t="str">
        <f t="shared" si="1"/>
        <v>X</v>
      </c>
      <c r="AG8" t="str">
        <f t="shared" si="0"/>
        <v>X</v>
      </c>
      <c r="AH8" t="str">
        <f t="shared" si="0"/>
        <v>X</v>
      </c>
      <c r="AI8" t="str">
        <f t="shared" si="0"/>
        <v>X</v>
      </c>
      <c r="AJ8" t="str">
        <f t="shared" si="0"/>
        <v>X</v>
      </c>
      <c r="AK8" t="str">
        <f t="shared" si="0"/>
        <v>X</v>
      </c>
      <c r="AL8" t="str">
        <f t="shared" si="0"/>
        <v/>
      </c>
      <c r="AM8" t="str">
        <f t="shared" si="0"/>
        <v/>
      </c>
      <c r="AN8" t="str">
        <f t="shared" si="0"/>
        <v/>
      </c>
      <c r="AO8" t="str">
        <f t="shared" si="0"/>
        <v/>
      </c>
      <c r="AP8" t="str">
        <f t="shared" si="0"/>
        <v/>
      </c>
      <c r="AQ8" t="str">
        <f t="shared" si="0"/>
        <v/>
      </c>
      <c r="AR8" t="str">
        <f t="shared" si="0"/>
        <v/>
      </c>
      <c r="AS8" t="str">
        <f t="shared" si="0"/>
        <v/>
      </c>
      <c r="AT8" t="str">
        <f t="shared" si="0"/>
        <v/>
      </c>
      <c r="AU8" t="str">
        <f t="shared" si="0"/>
        <v/>
      </c>
      <c r="AV8" t="str">
        <f t="shared" si="0"/>
        <v/>
      </c>
      <c r="AW8" t="str">
        <f t="shared" si="0"/>
        <v/>
      </c>
      <c r="AX8" t="str">
        <f t="shared" si="0"/>
        <v/>
      </c>
      <c r="AY8" t="str">
        <f t="shared" si="0"/>
        <v/>
      </c>
      <c r="AZ8" t="str">
        <f t="shared" si="0"/>
        <v/>
      </c>
      <c r="BA8" t="str">
        <f t="shared" si="0"/>
        <v/>
      </c>
      <c r="BB8" t="str">
        <f t="shared" si="0"/>
        <v/>
      </c>
    </row>
    <row r="9" spans="1:54" x14ac:dyDescent="0.55000000000000004">
      <c r="A9" s="83"/>
      <c r="B9" s="83"/>
      <c r="C9" s="54">
        <v>2.25</v>
      </c>
      <c r="D9" s="36">
        <f t="shared" ref="D9:S35" si="3">IF($C9&gt;=(4*D$82),((ROUNDUP((IF(((D$6*$C9+2*D$7)*(ROUNDDOWN($AC$2/D$2,0)*ROUNDDOWN($AC$3/D$3,0)*ROUNDDOWN($AC$4/($C9*25.4),0)))&lt;=20,((ROUNDDOWN($AC$2/D$2,0))*(ROUNDDOWN($AC$3/D$3,0))*(ROUNDDOWN($AC$4/($C9*25.4),0))),20/(D$6*$C9+2*D$7)))/10,0))*10),"-")</f>
        <v>280</v>
      </c>
      <c r="E9" s="36">
        <f t="shared" si="2"/>
        <v>180</v>
      </c>
      <c r="F9" s="36">
        <f t="shared" si="2"/>
        <v>160</v>
      </c>
      <c r="G9" s="36" t="str">
        <f t="shared" si="2"/>
        <v>-</v>
      </c>
      <c r="H9" s="36" t="str">
        <f t="shared" si="2"/>
        <v>-</v>
      </c>
      <c r="I9" s="36" t="str">
        <f t="shared" si="2"/>
        <v>-</v>
      </c>
      <c r="J9" s="36" t="str">
        <f t="shared" si="2"/>
        <v>-</v>
      </c>
      <c r="K9" s="36" t="str">
        <f t="shared" si="2"/>
        <v>-</v>
      </c>
      <c r="L9" s="36" t="str">
        <f t="shared" si="2"/>
        <v>-</v>
      </c>
      <c r="M9" s="36" t="str">
        <f t="shared" si="2"/>
        <v>-</v>
      </c>
      <c r="N9" s="36" t="str">
        <f t="shared" si="2"/>
        <v>-</v>
      </c>
      <c r="O9" s="36" t="str">
        <f t="shared" si="2"/>
        <v>-</v>
      </c>
      <c r="P9" s="36" t="str">
        <f t="shared" si="2"/>
        <v>-</v>
      </c>
      <c r="Q9" s="36" t="str">
        <f t="shared" si="2"/>
        <v>-</v>
      </c>
      <c r="R9" s="36" t="str">
        <f t="shared" si="2"/>
        <v>-</v>
      </c>
      <c r="S9" s="36" t="str">
        <f t="shared" si="2"/>
        <v>-</v>
      </c>
      <c r="T9" s="36" t="str">
        <f t="shared" si="2"/>
        <v>-</v>
      </c>
      <c r="U9" s="36" t="str">
        <f t="shared" si="2"/>
        <v>-</v>
      </c>
      <c r="V9" s="36" t="str">
        <f t="shared" si="2"/>
        <v>-</v>
      </c>
      <c r="W9" s="36" t="str">
        <f t="shared" si="2"/>
        <v>-</v>
      </c>
      <c r="X9" s="36" t="str">
        <f t="shared" si="2"/>
        <v>-</v>
      </c>
      <c r="Y9" s="36" t="str">
        <f t="shared" si="2"/>
        <v>-</v>
      </c>
      <c r="Z9" s="36" t="str">
        <f t="shared" si="2"/>
        <v>-</v>
      </c>
      <c r="AE9" s="54">
        <v>3.75</v>
      </c>
      <c r="AF9" t="str">
        <f t="shared" si="1"/>
        <v>X</v>
      </c>
      <c r="AG9" t="str">
        <f t="shared" si="0"/>
        <v>X</v>
      </c>
      <c r="AH9" t="str">
        <f t="shared" si="0"/>
        <v>X</v>
      </c>
      <c r="AI9" t="str">
        <f t="shared" si="0"/>
        <v>X</v>
      </c>
      <c r="AJ9" t="str">
        <f t="shared" si="0"/>
        <v>X</v>
      </c>
      <c r="AK9" t="str">
        <f t="shared" si="0"/>
        <v>X</v>
      </c>
      <c r="AL9" t="str">
        <f t="shared" si="0"/>
        <v/>
      </c>
      <c r="AM9" t="str">
        <f t="shared" si="0"/>
        <v/>
      </c>
      <c r="AN9" t="str">
        <f t="shared" si="0"/>
        <v/>
      </c>
      <c r="AO9" t="str">
        <f t="shared" si="0"/>
        <v/>
      </c>
      <c r="AP9" t="str">
        <f t="shared" si="0"/>
        <v/>
      </c>
      <c r="AQ9" t="str">
        <f t="shared" si="0"/>
        <v/>
      </c>
      <c r="AR9" t="str">
        <f t="shared" si="0"/>
        <v/>
      </c>
      <c r="AS9" t="str">
        <f t="shared" si="0"/>
        <v/>
      </c>
      <c r="AT9" t="str">
        <f t="shared" si="0"/>
        <v/>
      </c>
      <c r="AU9" t="str">
        <f t="shared" si="0"/>
        <v/>
      </c>
      <c r="AV9" t="str">
        <f t="shared" si="0"/>
        <v/>
      </c>
      <c r="AW9" t="str">
        <f t="shared" si="0"/>
        <v/>
      </c>
      <c r="AX9" t="str">
        <f t="shared" si="0"/>
        <v/>
      </c>
      <c r="AY9" t="str">
        <f t="shared" si="0"/>
        <v/>
      </c>
      <c r="AZ9" t="str">
        <f t="shared" si="0"/>
        <v/>
      </c>
      <c r="BA9" t="str">
        <f t="shared" si="0"/>
        <v/>
      </c>
      <c r="BB9" t="str">
        <f t="shared" si="0"/>
        <v/>
      </c>
    </row>
    <row r="10" spans="1:54" x14ac:dyDescent="0.55000000000000004">
      <c r="A10" s="83"/>
      <c r="B10" s="83"/>
      <c r="C10" s="54">
        <v>2.5</v>
      </c>
      <c r="D10" s="36">
        <f t="shared" si="3"/>
        <v>220</v>
      </c>
      <c r="E10" s="36">
        <f t="shared" si="2"/>
        <v>150</v>
      </c>
      <c r="F10" s="36">
        <f t="shared" si="2"/>
        <v>150</v>
      </c>
      <c r="G10" s="36" t="str">
        <f t="shared" si="2"/>
        <v>-</v>
      </c>
      <c r="H10" s="36" t="str">
        <f t="shared" si="2"/>
        <v>-</v>
      </c>
      <c r="I10" s="36" t="str">
        <f t="shared" si="2"/>
        <v>-</v>
      </c>
      <c r="J10" s="36" t="str">
        <f t="shared" si="2"/>
        <v>-</v>
      </c>
      <c r="K10" s="36" t="str">
        <f t="shared" si="2"/>
        <v>-</v>
      </c>
      <c r="L10" s="36" t="str">
        <f t="shared" si="2"/>
        <v>-</v>
      </c>
      <c r="M10" s="36" t="str">
        <f t="shared" si="2"/>
        <v>-</v>
      </c>
      <c r="N10" s="36" t="str">
        <f t="shared" si="2"/>
        <v>-</v>
      </c>
      <c r="O10" s="36" t="str">
        <f t="shared" si="2"/>
        <v>-</v>
      </c>
      <c r="P10" s="36" t="str">
        <f t="shared" si="2"/>
        <v>-</v>
      </c>
      <c r="Q10" s="36" t="str">
        <f t="shared" si="2"/>
        <v>-</v>
      </c>
      <c r="R10" s="36" t="str">
        <f t="shared" si="2"/>
        <v>-</v>
      </c>
      <c r="S10" s="36" t="str">
        <f t="shared" si="2"/>
        <v>-</v>
      </c>
      <c r="T10" s="36" t="str">
        <f t="shared" si="2"/>
        <v>-</v>
      </c>
      <c r="U10" s="36" t="str">
        <f t="shared" si="2"/>
        <v>-</v>
      </c>
      <c r="V10" s="36" t="str">
        <f t="shared" si="2"/>
        <v>-</v>
      </c>
      <c r="W10" s="36" t="str">
        <f t="shared" si="2"/>
        <v>-</v>
      </c>
      <c r="X10" s="36" t="str">
        <f t="shared" si="2"/>
        <v>-</v>
      </c>
      <c r="Y10" s="36" t="str">
        <f t="shared" si="2"/>
        <v>-</v>
      </c>
      <c r="Z10" s="36" t="str">
        <f t="shared" si="2"/>
        <v>-</v>
      </c>
      <c r="AE10" s="54">
        <v>4</v>
      </c>
      <c r="AF10" t="str">
        <f t="shared" si="1"/>
        <v>X</v>
      </c>
      <c r="AG10" t="str">
        <f t="shared" si="0"/>
        <v>X</v>
      </c>
      <c r="AH10" t="str">
        <f t="shared" si="0"/>
        <v>X</v>
      </c>
      <c r="AI10" t="str">
        <f t="shared" si="0"/>
        <v>X</v>
      </c>
      <c r="AJ10" t="str">
        <f t="shared" si="0"/>
        <v>X</v>
      </c>
      <c r="AK10" t="str">
        <f t="shared" si="0"/>
        <v>X</v>
      </c>
      <c r="AL10" t="str">
        <f t="shared" si="0"/>
        <v>X</v>
      </c>
      <c r="AM10" t="str">
        <f t="shared" si="0"/>
        <v/>
      </c>
      <c r="AN10" t="str">
        <f t="shared" si="0"/>
        <v/>
      </c>
      <c r="AO10" t="str">
        <f t="shared" si="0"/>
        <v/>
      </c>
      <c r="AP10" t="str">
        <f t="shared" si="0"/>
        <v/>
      </c>
      <c r="AQ10" t="str">
        <f t="shared" si="0"/>
        <v/>
      </c>
      <c r="AR10" t="str">
        <f t="shared" si="0"/>
        <v/>
      </c>
      <c r="AS10" t="str">
        <f t="shared" si="0"/>
        <v/>
      </c>
      <c r="AT10" t="str">
        <f t="shared" si="0"/>
        <v/>
      </c>
      <c r="AU10" t="str">
        <f t="shared" si="0"/>
        <v/>
      </c>
      <c r="AV10" t="str">
        <f t="shared" si="0"/>
        <v/>
      </c>
      <c r="AW10" t="str">
        <f t="shared" si="0"/>
        <v/>
      </c>
      <c r="AX10" t="str">
        <f t="shared" si="0"/>
        <v/>
      </c>
      <c r="AY10" t="str">
        <f t="shared" si="0"/>
        <v/>
      </c>
      <c r="AZ10" t="str">
        <f t="shared" si="0"/>
        <v/>
      </c>
      <c r="BA10" t="str">
        <f t="shared" si="0"/>
        <v/>
      </c>
      <c r="BB10" t="str">
        <f t="shared" si="0"/>
        <v/>
      </c>
    </row>
    <row r="11" spans="1:54" x14ac:dyDescent="0.55000000000000004">
      <c r="A11" s="83"/>
      <c r="B11" s="83"/>
      <c r="C11" s="54">
        <v>2.75</v>
      </c>
      <c r="D11" s="36">
        <f t="shared" si="3"/>
        <v>220</v>
      </c>
      <c r="E11" s="36">
        <f t="shared" si="2"/>
        <v>150</v>
      </c>
      <c r="F11" s="36">
        <f t="shared" si="2"/>
        <v>140</v>
      </c>
      <c r="G11" s="36">
        <f t="shared" si="2"/>
        <v>100</v>
      </c>
      <c r="H11" s="36" t="str">
        <f t="shared" si="2"/>
        <v>-</v>
      </c>
      <c r="I11" s="36" t="str">
        <f t="shared" si="2"/>
        <v>-</v>
      </c>
      <c r="J11" s="36" t="str">
        <f t="shared" si="2"/>
        <v>-</v>
      </c>
      <c r="K11" s="36" t="str">
        <f t="shared" si="2"/>
        <v>-</v>
      </c>
      <c r="L11" s="36" t="str">
        <f t="shared" si="2"/>
        <v>-</v>
      </c>
      <c r="M11" s="36" t="str">
        <f t="shared" si="2"/>
        <v>-</v>
      </c>
      <c r="N11" s="36" t="str">
        <f t="shared" si="2"/>
        <v>-</v>
      </c>
      <c r="O11" s="36" t="str">
        <f t="shared" si="2"/>
        <v>-</v>
      </c>
      <c r="P11" s="36" t="str">
        <f t="shared" si="2"/>
        <v>-</v>
      </c>
      <c r="Q11" s="36" t="str">
        <f t="shared" si="2"/>
        <v>-</v>
      </c>
      <c r="R11" s="36" t="str">
        <f t="shared" si="2"/>
        <v>-</v>
      </c>
      <c r="S11" s="36" t="str">
        <f t="shared" si="2"/>
        <v>-</v>
      </c>
      <c r="T11" s="36" t="str">
        <f t="shared" si="2"/>
        <v>-</v>
      </c>
      <c r="U11" s="36" t="str">
        <f t="shared" si="2"/>
        <v>-</v>
      </c>
      <c r="V11" s="36" t="str">
        <f t="shared" si="2"/>
        <v>-</v>
      </c>
      <c r="W11" s="36" t="str">
        <f t="shared" si="2"/>
        <v>-</v>
      </c>
      <c r="X11" s="36" t="str">
        <f t="shared" si="2"/>
        <v>-</v>
      </c>
      <c r="Y11" s="36" t="str">
        <f t="shared" si="2"/>
        <v>-</v>
      </c>
      <c r="Z11" s="36" t="str">
        <f t="shared" si="2"/>
        <v>-</v>
      </c>
      <c r="AE11" s="54">
        <v>4.25</v>
      </c>
      <c r="AF11" t="str">
        <f t="shared" si="1"/>
        <v>X</v>
      </c>
      <c r="AG11" t="str">
        <f t="shared" si="0"/>
        <v>X</v>
      </c>
      <c r="AH11" t="str">
        <f t="shared" si="0"/>
        <v>X</v>
      </c>
      <c r="AI11" t="str">
        <f t="shared" si="0"/>
        <v>X</v>
      </c>
      <c r="AJ11" t="str">
        <f t="shared" si="0"/>
        <v>X</v>
      </c>
      <c r="AK11" t="str">
        <f t="shared" si="0"/>
        <v>X</v>
      </c>
      <c r="AL11" t="str">
        <f t="shared" si="0"/>
        <v>X</v>
      </c>
      <c r="AM11" t="str">
        <f t="shared" si="0"/>
        <v/>
      </c>
      <c r="AN11" t="str">
        <f t="shared" si="0"/>
        <v/>
      </c>
      <c r="AO11" t="str">
        <f t="shared" si="0"/>
        <v/>
      </c>
      <c r="AP11" t="str">
        <f t="shared" si="0"/>
        <v/>
      </c>
      <c r="AQ11" t="str">
        <f t="shared" si="0"/>
        <v/>
      </c>
      <c r="AR11" t="str">
        <f t="shared" si="0"/>
        <v/>
      </c>
      <c r="AS11" t="str">
        <f t="shared" si="0"/>
        <v/>
      </c>
      <c r="AT11" t="str">
        <f t="shared" si="0"/>
        <v/>
      </c>
      <c r="AU11" t="str">
        <f t="shared" si="0"/>
        <v/>
      </c>
      <c r="AV11" t="str">
        <f t="shared" si="0"/>
        <v/>
      </c>
      <c r="AW11" t="str">
        <f t="shared" si="0"/>
        <v/>
      </c>
      <c r="AX11" t="str">
        <f t="shared" si="0"/>
        <v/>
      </c>
      <c r="AY11" t="str">
        <f t="shared" si="0"/>
        <v/>
      </c>
      <c r="AZ11" t="str">
        <f t="shared" si="0"/>
        <v/>
      </c>
      <c r="BA11" t="str">
        <f t="shared" si="0"/>
        <v/>
      </c>
      <c r="BB11" t="str">
        <f t="shared" si="0"/>
        <v/>
      </c>
    </row>
    <row r="12" spans="1:54" x14ac:dyDescent="0.55000000000000004">
      <c r="A12" s="83"/>
      <c r="B12" s="83"/>
      <c r="C12" s="54">
        <v>3</v>
      </c>
      <c r="D12" s="36">
        <f t="shared" si="3"/>
        <v>170</v>
      </c>
      <c r="E12" s="36">
        <f t="shared" si="2"/>
        <v>110</v>
      </c>
      <c r="F12" s="36">
        <f t="shared" si="2"/>
        <v>110</v>
      </c>
      <c r="G12" s="36">
        <f t="shared" si="2"/>
        <v>80</v>
      </c>
      <c r="H12" s="36">
        <f t="shared" si="2"/>
        <v>70</v>
      </c>
      <c r="I12" s="36" t="str">
        <f t="shared" si="2"/>
        <v>-</v>
      </c>
      <c r="J12" s="36" t="str">
        <f t="shared" si="2"/>
        <v>-</v>
      </c>
      <c r="K12" s="36" t="str">
        <f t="shared" si="2"/>
        <v>-</v>
      </c>
      <c r="L12" s="36" t="str">
        <f t="shared" si="2"/>
        <v>-</v>
      </c>
      <c r="M12" s="36" t="str">
        <f t="shared" si="2"/>
        <v>-</v>
      </c>
      <c r="N12" s="36" t="str">
        <f t="shared" si="2"/>
        <v>-</v>
      </c>
      <c r="O12" s="36" t="str">
        <f t="shared" si="2"/>
        <v>-</v>
      </c>
      <c r="P12" s="36" t="str">
        <f t="shared" si="2"/>
        <v>-</v>
      </c>
      <c r="Q12" s="36" t="str">
        <f t="shared" si="2"/>
        <v>-</v>
      </c>
      <c r="R12" s="36" t="str">
        <f t="shared" si="2"/>
        <v>-</v>
      </c>
      <c r="S12" s="36" t="str">
        <f t="shared" si="2"/>
        <v>-</v>
      </c>
      <c r="T12" s="36" t="str">
        <f t="shared" si="2"/>
        <v>-</v>
      </c>
      <c r="U12" s="36" t="str">
        <f t="shared" si="2"/>
        <v>-</v>
      </c>
      <c r="V12" s="36" t="str">
        <f t="shared" si="2"/>
        <v>-</v>
      </c>
      <c r="W12" s="36" t="str">
        <f t="shared" si="2"/>
        <v>-</v>
      </c>
      <c r="X12" s="36" t="str">
        <f t="shared" si="2"/>
        <v>-</v>
      </c>
      <c r="Y12" s="36" t="str">
        <f t="shared" si="2"/>
        <v>-</v>
      </c>
      <c r="Z12" s="36" t="str">
        <f t="shared" si="2"/>
        <v>-</v>
      </c>
      <c r="AE12" s="54">
        <v>4.5</v>
      </c>
      <c r="AF12" t="str">
        <f t="shared" si="1"/>
        <v>X</v>
      </c>
      <c r="AG12" t="str">
        <f t="shared" si="0"/>
        <v>X</v>
      </c>
      <c r="AH12" t="str">
        <f t="shared" si="0"/>
        <v>X</v>
      </c>
      <c r="AI12" t="str">
        <f t="shared" si="0"/>
        <v>X</v>
      </c>
      <c r="AJ12" t="str">
        <f t="shared" si="0"/>
        <v>X</v>
      </c>
      <c r="AK12" t="str">
        <f t="shared" si="0"/>
        <v>X</v>
      </c>
      <c r="AL12" t="str">
        <f t="shared" si="0"/>
        <v>X</v>
      </c>
      <c r="AM12" t="str">
        <f t="shared" si="0"/>
        <v>X</v>
      </c>
      <c r="AN12" t="str">
        <f t="shared" si="0"/>
        <v/>
      </c>
      <c r="AO12" t="str">
        <f t="shared" si="0"/>
        <v/>
      </c>
      <c r="AP12" t="str">
        <f t="shared" si="0"/>
        <v/>
      </c>
      <c r="AQ12" t="str">
        <f t="shared" si="0"/>
        <v/>
      </c>
      <c r="AR12" t="str">
        <f t="shared" si="0"/>
        <v/>
      </c>
      <c r="AS12" t="str">
        <f t="shared" si="0"/>
        <v/>
      </c>
      <c r="AT12" t="str">
        <f t="shared" si="0"/>
        <v/>
      </c>
      <c r="AU12" t="str">
        <f t="shared" si="0"/>
        <v/>
      </c>
      <c r="AV12" t="str">
        <f t="shared" si="0"/>
        <v/>
      </c>
      <c r="AW12" t="str">
        <f t="shared" si="0"/>
        <v/>
      </c>
      <c r="AX12" t="str">
        <f t="shared" si="0"/>
        <v/>
      </c>
      <c r="AY12" t="str">
        <f t="shared" si="0"/>
        <v/>
      </c>
      <c r="AZ12" t="str">
        <f t="shared" si="0"/>
        <v/>
      </c>
      <c r="BA12" t="str">
        <f t="shared" si="0"/>
        <v/>
      </c>
      <c r="BB12" t="str">
        <f t="shared" si="0"/>
        <v/>
      </c>
    </row>
    <row r="13" spans="1:54" x14ac:dyDescent="0.55000000000000004">
      <c r="A13" s="83"/>
      <c r="B13" s="83"/>
      <c r="C13" s="54">
        <v>3.25</v>
      </c>
      <c r="D13" s="36">
        <f t="shared" si="3"/>
        <v>170</v>
      </c>
      <c r="E13" s="36">
        <f t="shared" si="2"/>
        <v>110</v>
      </c>
      <c r="F13" s="36">
        <f t="shared" si="2"/>
        <v>110</v>
      </c>
      <c r="G13" s="36">
        <f t="shared" si="2"/>
        <v>80</v>
      </c>
      <c r="H13" s="36">
        <f t="shared" si="2"/>
        <v>60</v>
      </c>
      <c r="I13" s="36" t="str">
        <f t="shared" si="2"/>
        <v>-</v>
      </c>
      <c r="J13" s="36" t="str">
        <f t="shared" si="2"/>
        <v>-</v>
      </c>
      <c r="K13" s="36" t="str">
        <f t="shared" si="2"/>
        <v>-</v>
      </c>
      <c r="L13" s="36" t="str">
        <f t="shared" si="2"/>
        <v>-</v>
      </c>
      <c r="M13" s="36" t="str">
        <f t="shared" si="2"/>
        <v>-</v>
      </c>
      <c r="N13" s="36" t="str">
        <f t="shared" si="2"/>
        <v>-</v>
      </c>
      <c r="O13" s="36" t="str">
        <f t="shared" si="2"/>
        <v>-</v>
      </c>
      <c r="P13" s="36" t="str">
        <f t="shared" si="2"/>
        <v>-</v>
      </c>
      <c r="Q13" s="36" t="str">
        <f t="shared" si="2"/>
        <v>-</v>
      </c>
      <c r="R13" s="36" t="str">
        <f t="shared" si="2"/>
        <v>-</v>
      </c>
      <c r="S13" s="36" t="str">
        <f t="shared" si="2"/>
        <v>-</v>
      </c>
      <c r="T13" s="36" t="str">
        <f t="shared" si="2"/>
        <v>-</v>
      </c>
      <c r="U13" s="36" t="str">
        <f t="shared" si="2"/>
        <v>-</v>
      </c>
      <c r="V13" s="36" t="str">
        <f t="shared" si="2"/>
        <v>-</v>
      </c>
      <c r="W13" s="36" t="str">
        <f t="shared" si="2"/>
        <v>-</v>
      </c>
      <c r="X13" s="36" t="str">
        <f t="shared" si="2"/>
        <v>-</v>
      </c>
      <c r="Y13" s="36" t="str">
        <f t="shared" si="2"/>
        <v>-</v>
      </c>
      <c r="Z13" s="36" t="str">
        <f t="shared" si="2"/>
        <v>-</v>
      </c>
      <c r="AE13" s="54">
        <v>4.75</v>
      </c>
      <c r="AF13" t="str">
        <f t="shared" si="1"/>
        <v>X</v>
      </c>
      <c r="AG13" t="str">
        <f t="shared" si="0"/>
        <v>X</v>
      </c>
      <c r="AH13" t="str">
        <f t="shared" si="0"/>
        <v>X</v>
      </c>
      <c r="AI13" t="str">
        <f t="shared" si="0"/>
        <v>X</v>
      </c>
      <c r="AJ13" t="str">
        <f t="shared" si="0"/>
        <v>X</v>
      </c>
      <c r="AK13" t="str">
        <f t="shared" si="0"/>
        <v>X</v>
      </c>
      <c r="AL13" t="str">
        <f t="shared" si="0"/>
        <v>X</v>
      </c>
      <c r="AM13" t="str">
        <f t="shared" si="0"/>
        <v>X</v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ref="AT13:BB44" si="4">IF($AE13&gt;=(4*AT$1),"X","")</f>
        <v/>
      </c>
      <c r="AU13" t="str">
        <f t="shared" si="4"/>
        <v/>
      </c>
      <c r="AV13" t="str">
        <f t="shared" si="4"/>
        <v/>
      </c>
      <c r="AW13" t="str">
        <f t="shared" si="4"/>
        <v/>
      </c>
      <c r="AX13" t="str">
        <f t="shared" si="4"/>
        <v/>
      </c>
      <c r="AY13" t="str">
        <f t="shared" si="4"/>
        <v/>
      </c>
      <c r="AZ13" t="str">
        <f t="shared" si="4"/>
        <v/>
      </c>
      <c r="BA13" t="str">
        <f t="shared" si="4"/>
        <v/>
      </c>
      <c r="BB13" t="str">
        <f t="shared" si="4"/>
        <v/>
      </c>
    </row>
    <row r="14" spans="1:54" x14ac:dyDescent="0.55000000000000004">
      <c r="A14" s="83"/>
      <c r="B14" s="83"/>
      <c r="C14" s="54">
        <v>3.5</v>
      </c>
      <c r="D14" s="36">
        <f t="shared" si="3"/>
        <v>170</v>
      </c>
      <c r="E14" s="36">
        <f t="shared" si="2"/>
        <v>110</v>
      </c>
      <c r="F14" s="36">
        <f t="shared" si="2"/>
        <v>110</v>
      </c>
      <c r="G14" s="36">
        <f t="shared" si="2"/>
        <v>80</v>
      </c>
      <c r="H14" s="36">
        <f t="shared" si="2"/>
        <v>60</v>
      </c>
      <c r="I14" s="36">
        <f t="shared" si="2"/>
        <v>40</v>
      </c>
      <c r="J14" s="36" t="str">
        <f t="shared" si="2"/>
        <v>-</v>
      </c>
      <c r="K14" s="36" t="str">
        <f t="shared" si="2"/>
        <v>-</v>
      </c>
      <c r="L14" s="36" t="str">
        <f t="shared" si="2"/>
        <v>-</v>
      </c>
      <c r="M14" s="36" t="str">
        <f t="shared" si="2"/>
        <v>-</v>
      </c>
      <c r="N14" s="36" t="str">
        <f t="shared" si="2"/>
        <v>-</v>
      </c>
      <c r="O14" s="36" t="str">
        <f t="shared" si="2"/>
        <v>-</v>
      </c>
      <c r="P14" s="36" t="str">
        <f t="shared" si="2"/>
        <v>-</v>
      </c>
      <c r="Q14" s="36" t="str">
        <f t="shared" si="2"/>
        <v>-</v>
      </c>
      <c r="R14" s="36" t="str">
        <f t="shared" si="2"/>
        <v>-</v>
      </c>
      <c r="S14" s="36" t="str">
        <f t="shared" si="2"/>
        <v>-</v>
      </c>
      <c r="T14" s="36" t="str">
        <f t="shared" si="2"/>
        <v>-</v>
      </c>
      <c r="U14" s="36" t="str">
        <f t="shared" si="2"/>
        <v>-</v>
      </c>
      <c r="V14" s="36" t="str">
        <f t="shared" si="2"/>
        <v>-</v>
      </c>
      <c r="W14" s="36" t="str">
        <f t="shared" si="2"/>
        <v>-</v>
      </c>
      <c r="X14" s="36" t="str">
        <f t="shared" si="2"/>
        <v>-</v>
      </c>
      <c r="Y14" s="36" t="str">
        <f t="shared" si="2"/>
        <v>-</v>
      </c>
      <c r="Z14" s="36" t="str">
        <f t="shared" si="2"/>
        <v>-</v>
      </c>
      <c r="AE14" s="54">
        <v>5</v>
      </c>
      <c r="AF14" t="str">
        <f t="shared" si="1"/>
        <v>X</v>
      </c>
      <c r="AG14" t="str">
        <f t="shared" si="1"/>
        <v>X</v>
      </c>
      <c r="AH14" t="str">
        <f t="shared" si="1"/>
        <v>X</v>
      </c>
      <c r="AI14" t="str">
        <f t="shared" si="1"/>
        <v>X</v>
      </c>
      <c r="AJ14" t="str">
        <f t="shared" si="1"/>
        <v>X</v>
      </c>
      <c r="AK14" t="str">
        <f t="shared" si="1"/>
        <v>X</v>
      </c>
      <c r="AL14" t="str">
        <f t="shared" si="1"/>
        <v>X</v>
      </c>
      <c r="AM14" t="str">
        <f t="shared" si="1"/>
        <v>X</v>
      </c>
      <c r="AN14" t="str">
        <f t="shared" si="1"/>
        <v>X</v>
      </c>
      <c r="AO14" t="str">
        <f t="shared" si="1"/>
        <v/>
      </c>
      <c r="AP14" t="str">
        <f t="shared" si="1"/>
        <v/>
      </c>
      <c r="AQ14" t="str">
        <f t="shared" si="1"/>
        <v/>
      </c>
      <c r="AR14" t="str">
        <f t="shared" si="1"/>
        <v/>
      </c>
      <c r="AS14" t="str">
        <f t="shared" si="1"/>
        <v/>
      </c>
      <c r="AT14" t="str">
        <f t="shared" si="1"/>
        <v/>
      </c>
      <c r="AU14" t="str">
        <f t="shared" si="1"/>
        <v/>
      </c>
      <c r="AV14" t="str">
        <f t="shared" si="4"/>
        <v/>
      </c>
      <c r="AW14" t="str">
        <f t="shared" si="4"/>
        <v/>
      </c>
      <c r="AX14" t="str">
        <f t="shared" si="4"/>
        <v/>
      </c>
      <c r="AY14" t="str">
        <f t="shared" si="4"/>
        <v/>
      </c>
      <c r="AZ14" t="str">
        <f t="shared" si="4"/>
        <v/>
      </c>
      <c r="BA14" t="str">
        <f t="shared" si="4"/>
        <v/>
      </c>
      <c r="BB14" t="str">
        <f t="shared" si="4"/>
        <v/>
      </c>
    </row>
    <row r="15" spans="1:54" x14ac:dyDescent="0.55000000000000004">
      <c r="A15" s="83"/>
      <c r="B15" s="83"/>
      <c r="C15" s="54">
        <v>3.75</v>
      </c>
      <c r="D15" s="36">
        <f t="shared" si="3"/>
        <v>170</v>
      </c>
      <c r="E15" s="36">
        <f t="shared" si="2"/>
        <v>110</v>
      </c>
      <c r="F15" s="36">
        <f t="shared" si="2"/>
        <v>110</v>
      </c>
      <c r="G15" s="36">
        <f t="shared" si="2"/>
        <v>80</v>
      </c>
      <c r="H15" s="36">
        <f t="shared" si="2"/>
        <v>60</v>
      </c>
      <c r="I15" s="36">
        <f t="shared" si="2"/>
        <v>40</v>
      </c>
      <c r="J15" s="36" t="str">
        <f t="shared" si="2"/>
        <v>-</v>
      </c>
      <c r="K15" s="36" t="str">
        <f t="shared" si="2"/>
        <v>-</v>
      </c>
      <c r="L15" s="36" t="str">
        <f t="shared" si="2"/>
        <v>-</v>
      </c>
      <c r="M15" s="36" t="str">
        <f t="shared" si="2"/>
        <v>-</v>
      </c>
      <c r="N15" s="36" t="str">
        <f t="shared" si="2"/>
        <v>-</v>
      </c>
      <c r="O15" s="36" t="str">
        <f t="shared" si="2"/>
        <v>-</v>
      </c>
      <c r="P15" s="36" t="str">
        <f t="shared" si="2"/>
        <v>-</v>
      </c>
      <c r="Q15" s="36" t="str">
        <f t="shared" si="2"/>
        <v>-</v>
      </c>
      <c r="R15" s="36" t="str">
        <f t="shared" si="2"/>
        <v>-</v>
      </c>
      <c r="S15" s="36" t="str">
        <f t="shared" si="2"/>
        <v>-</v>
      </c>
      <c r="T15" s="36" t="str">
        <f t="shared" si="2"/>
        <v>-</v>
      </c>
      <c r="U15" s="36" t="str">
        <f t="shared" si="2"/>
        <v>-</v>
      </c>
      <c r="V15" s="36" t="str">
        <f t="shared" si="2"/>
        <v>-</v>
      </c>
      <c r="W15" s="36" t="str">
        <f t="shared" si="2"/>
        <v>-</v>
      </c>
      <c r="X15" s="36" t="str">
        <f t="shared" si="2"/>
        <v>-</v>
      </c>
      <c r="Y15" s="36" t="str">
        <f t="shared" si="2"/>
        <v>-</v>
      </c>
      <c r="Z15" s="36" t="str">
        <f t="shared" si="2"/>
        <v>-</v>
      </c>
      <c r="AE15" s="54">
        <v>5.25</v>
      </c>
      <c r="AF15" t="str">
        <f t="shared" si="1"/>
        <v>X</v>
      </c>
      <c r="AG15" t="str">
        <f t="shared" si="1"/>
        <v>X</v>
      </c>
      <c r="AH15" t="str">
        <f t="shared" si="1"/>
        <v>X</v>
      </c>
      <c r="AI15" t="str">
        <f t="shared" si="1"/>
        <v>X</v>
      </c>
      <c r="AJ15" t="str">
        <f t="shared" si="1"/>
        <v>X</v>
      </c>
      <c r="AK15" t="str">
        <f t="shared" si="1"/>
        <v>X</v>
      </c>
      <c r="AL15" t="str">
        <f t="shared" si="1"/>
        <v>X</v>
      </c>
      <c r="AM15" t="str">
        <f t="shared" si="1"/>
        <v>X</v>
      </c>
      <c r="AN15" t="str">
        <f t="shared" si="1"/>
        <v>X</v>
      </c>
      <c r="AO15" t="str">
        <f t="shared" si="1"/>
        <v/>
      </c>
      <c r="AP15" t="str">
        <f t="shared" si="1"/>
        <v/>
      </c>
      <c r="AQ15" t="str">
        <f t="shared" si="1"/>
        <v/>
      </c>
      <c r="AR15" t="str">
        <f t="shared" si="1"/>
        <v/>
      </c>
      <c r="AS15" t="str">
        <f t="shared" si="1"/>
        <v/>
      </c>
      <c r="AT15" t="str">
        <f t="shared" si="1"/>
        <v/>
      </c>
      <c r="AU15" t="str">
        <f t="shared" si="1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</row>
    <row r="16" spans="1:54" x14ac:dyDescent="0.55000000000000004">
      <c r="A16" s="83"/>
      <c r="B16" s="83"/>
      <c r="C16" s="54">
        <v>4</v>
      </c>
      <c r="D16" s="36">
        <f t="shared" si="3"/>
        <v>110</v>
      </c>
      <c r="E16" s="36">
        <f t="shared" si="2"/>
        <v>80</v>
      </c>
      <c r="F16" s="36">
        <f t="shared" si="2"/>
        <v>80</v>
      </c>
      <c r="G16" s="36">
        <f t="shared" si="2"/>
        <v>50</v>
      </c>
      <c r="H16" s="36">
        <f t="shared" si="2"/>
        <v>50</v>
      </c>
      <c r="I16" s="36">
        <f t="shared" si="2"/>
        <v>40</v>
      </c>
      <c r="J16" s="36">
        <f t="shared" si="2"/>
        <v>20</v>
      </c>
      <c r="K16" s="36" t="str">
        <f t="shared" si="2"/>
        <v>-</v>
      </c>
      <c r="L16" s="36" t="str">
        <f t="shared" si="2"/>
        <v>-</v>
      </c>
      <c r="M16" s="36" t="str">
        <f t="shared" si="2"/>
        <v>-</v>
      </c>
      <c r="N16" s="36" t="str">
        <f t="shared" si="2"/>
        <v>-</v>
      </c>
      <c r="O16" s="36" t="str">
        <f t="shared" si="2"/>
        <v>-</v>
      </c>
      <c r="P16" s="36" t="str">
        <f t="shared" si="2"/>
        <v>-</v>
      </c>
      <c r="Q16" s="36" t="str">
        <f t="shared" si="2"/>
        <v>-</v>
      </c>
      <c r="R16" s="36" t="str">
        <f t="shared" si="2"/>
        <v>-</v>
      </c>
      <c r="S16" s="36" t="str">
        <f t="shared" si="2"/>
        <v>-</v>
      </c>
      <c r="T16" s="36" t="str">
        <f t="shared" si="2"/>
        <v>-</v>
      </c>
      <c r="U16" s="36" t="str">
        <f t="shared" si="2"/>
        <v>-</v>
      </c>
      <c r="V16" s="36" t="str">
        <f t="shared" si="2"/>
        <v>-</v>
      </c>
      <c r="W16" s="36" t="str">
        <f t="shared" si="2"/>
        <v>-</v>
      </c>
      <c r="X16" s="36" t="str">
        <f t="shared" si="2"/>
        <v>-</v>
      </c>
      <c r="Y16" s="36" t="str">
        <f t="shared" si="2"/>
        <v>-</v>
      </c>
      <c r="Z16" s="36" t="str">
        <f t="shared" si="2"/>
        <v>-</v>
      </c>
      <c r="AE16" s="54">
        <v>5.5</v>
      </c>
      <c r="AF16" t="str">
        <f t="shared" si="1"/>
        <v>X</v>
      </c>
      <c r="AG16" t="str">
        <f t="shared" si="1"/>
        <v>X</v>
      </c>
      <c r="AH16" t="str">
        <f t="shared" si="1"/>
        <v>X</v>
      </c>
      <c r="AI16" t="str">
        <f t="shared" si="1"/>
        <v>X</v>
      </c>
      <c r="AJ16" t="str">
        <f t="shared" si="1"/>
        <v>X</v>
      </c>
      <c r="AK16" t="str">
        <f t="shared" si="1"/>
        <v>X</v>
      </c>
      <c r="AL16" t="str">
        <f t="shared" si="1"/>
        <v>X</v>
      </c>
      <c r="AM16" t="str">
        <f t="shared" si="1"/>
        <v>X</v>
      </c>
      <c r="AN16" t="str">
        <f t="shared" si="1"/>
        <v>X</v>
      </c>
      <c r="AO16" t="str">
        <f t="shared" si="1"/>
        <v>X</v>
      </c>
      <c r="AP16" t="str">
        <f t="shared" si="1"/>
        <v/>
      </c>
      <c r="AQ16" t="str">
        <f t="shared" si="1"/>
        <v/>
      </c>
      <c r="AR16" t="str">
        <f t="shared" si="1"/>
        <v/>
      </c>
      <c r="AS16" t="str">
        <f t="shared" si="1"/>
        <v/>
      </c>
      <c r="AT16" t="str">
        <f t="shared" si="1"/>
        <v/>
      </c>
      <c r="AU16" t="str">
        <f t="shared" si="1"/>
        <v/>
      </c>
      <c r="AV16" t="str">
        <f t="shared" si="4"/>
        <v/>
      </c>
      <c r="AW16" t="str">
        <f t="shared" si="4"/>
        <v/>
      </c>
      <c r="AX16" t="str">
        <f t="shared" si="4"/>
        <v/>
      </c>
      <c r="AY16" t="str">
        <f t="shared" si="4"/>
        <v/>
      </c>
      <c r="AZ16" t="str">
        <f t="shared" si="4"/>
        <v/>
      </c>
      <c r="BA16" t="str">
        <f t="shared" si="4"/>
        <v/>
      </c>
      <c r="BB16" t="str">
        <f t="shared" si="4"/>
        <v/>
      </c>
    </row>
    <row r="17" spans="1:54" x14ac:dyDescent="0.55000000000000004">
      <c r="A17" s="83"/>
      <c r="B17" s="83"/>
      <c r="C17" s="54">
        <v>4.25</v>
      </c>
      <c r="D17" s="36">
        <f t="shared" si="3"/>
        <v>110</v>
      </c>
      <c r="E17" s="36">
        <f t="shared" si="2"/>
        <v>80</v>
      </c>
      <c r="F17" s="36">
        <f t="shared" si="2"/>
        <v>80</v>
      </c>
      <c r="G17" s="36">
        <f t="shared" si="2"/>
        <v>50</v>
      </c>
      <c r="H17" s="36">
        <f t="shared" si="2"/>
        <v>50</v>
      </c>
      <c r="I17" s="36">
        <f t="shared" si="2"/>
        <v>40</v>
      </c>
      <c r="J17" s="36">
        <f t="shared" si="2"/>
        <v>20</v>
      </c>
      <c r="K17" s="36" t="str">
        <f t="shared" si="2"/>
        <v>-</v>
      </c>
      <c r="L17" s="36" t="str">
        <f t="shared" si="2"/>
        <v>-</v>
      </c>
      <c r="M17" s="36" t="str">
        <f t="shared" si="2"/>
        <v>-</v>
      </c>
      <c r="N17" s="36" t="str">
        <f t="shared" si="2"/>
        <v>-</v>
      </c>
      <c r="O17" s="36" t="str">
        <f t="shared" si="2"/>
        <v>-</v>
      </c>
      <c r="P17" s="36" t="str">
        <f t="shared" si="2"/>
        <v>-</v>
      </c>
      <c r="Q17" s="36" t="str">
        <f t="shared" si="2"/>
        <v>-</v>
      </c>
      <c r="R17" s="36" t="str">
        <f t="shared" si="2"/>
        <v>-</v>
      </c>
      <c r="S17" s="36" t="str">
        <f t="shared" si="2"/>
        <v>-</v>
      </c>
      <c r="T17" s="36" t="str">
        <f t="shared" si="2"/>
        <v>-</v>
      </c>
      <c r="U17" s="36" t="str">
        <f t="shared" si="2"/>
        <v>-</v>
      </c>
      <c r="V17" s="36" t="str">
        <f t="shared" si="2"/>
        <v>-</v>
      </c>
      <c r="W17" s="36" t="str">
        <f t="shared" si="2"/>
        <v>-</v>
      </c>
      <c r="X17" s="36" t="str">
        <f t="shared" si="2"/>
        <v>-</v>
      </c>
      <c r="Y17" s="36" t="str">
        <f t="shared" si="2"/>
        <v>-</v>
      </c>
      <c r="Z17" s="36" t="str">
        <f t="shared" si="2"/>
        <v>-</v>
      </c>
      <c r="AE17" s="54">
        <v>5.75</v>
      </c>
      <c r="AF17" t="str">
        <f t="shared" si="1"/>
        <v>X</v>
      </c>
      <c r="AG17" t="str">
        <f t="shared" si="1"/>
        <v>X</v>
      </c>
      <c r="AH17" t="str">
        <f t="shared" si="1"/>
        <v>X</v>
      </c>
      <c r="AI17" t="str">
        <f t="shared" si="1"/>
        <v>X</v>
      </c>
      <c r="AJ17" t="str">
        <f t="shared" si="1"/>
        <v>X</v>
      </c>
      <c r="AK17" t="str">
        <f t="shared" si="1"/>
        <v>X</v>
      </c>
      <c r="AL17" t="str">
        <f t="shared" si="1"/>
        <v>X</v>
      </c>
      <c r="AM17" t="str">
        <f t="shared" si="1"/>
        <v>X</v>
      </c>
      <c r="AN17" t="str">
        <f t="shared" si="1"/>
        <v>X</v>
      </c>
      <c r="AO17" t="str">
        <f t="shared" si="1"/>
        <v>X</v>
      </c>
      <c r="AP17" t="str">
        <f t="shared" si="1"/>
        <v/>
      </c>
      <c r="AQ17" t="str">
        <f t="shared" si="1"/>
        <v/>
      </c>
      <c r="AR17" t="str">
        <f t="shared" si="1"/>
        <v/>
      </c>
      <c r="AS17" t="str">
        <f t="shared" si="1"/>
        <v/>
      </c>
      <c r="AT17" t="str">
        <f t="shared" si="1"/>
        <v/>
      </c>
      <c r="AU17" t="str">
        <f t="shared" si="1"/>
        <v/>
      </c>
      <c r="AV17" t="str">
        <f t="shared" si="4"/>
        <v/>
      </c>
      <c r="AW17" t="str">
        <f t="shared" si="4"/>
        <v/>
      </c>
      <c r="AX17" t="str">
        <f t="shared" si="4"/>
        <v/>
      </c>
      <c r="AY17" t="str">
        <f t="shared" si="4"/>
        <v/>
      </c>
      <c r="AZ17" t="str">
        <f t="shared" si="4"/>
        <v/>
      </c>
      <c r="BA17" t="str">
        <f t="shared" si="4"/>
        <v/>
      </c>
      <c r="BB17" t="str">
        <f t="shared" si="4"/>
        <v/>
      </c>
    </row>
    <row r="18" spans="1:54" x14ac:dyDescent="0.55000000000000004">
      <c r="A18" s="83"/>
      <c r="B18" s="83"/>
      <c r="C18" s="54">
        <v>4.5</v>
      </c>
      <c r="D18" s="36">
        <f t="shared" si="3"/>
        <v>110</v>
      </c>
      <c r="E18" s="36">
        <f t="shared" si="2"/>
        <v>80</v>
      </c>
      <c r="F18" s="36">
        <f t="shared" si="2"/>
        <v>80</v>
      </c>
      <c r="G18" s="36">
        <f t="shared" si="2"/>
        <v>50</v>
      </c>
      <c r="H18" s="36">
        <f t="shared" si="2"/>
        <v>50</v>
      </c>
      <c r="I18" s="36">
        <f t="shared" si="2"/>
        <v>40</v>
      </c>
      <c r="J18" s="36">
        <f t="shared" si="2"/>
        <v>20</v>
      </c>
      <c r="K18" s="36">
        <f t="shared" si="2"/>
        <v>20</v>
      </c>
      <c r="L18" s="36" t="str">
        <f t="shared" si="2"/>
        <v>-</v>
      </c>
      <c r="M18" s="36" t="str">
        <f t="shared" si="2"/>
        <v>-</v>
      </c>
      <c r="N18" s="36" t="str">
        <f t="shared" si="2"/>
        <v>-</v>
      </c>
      <c r="O18" s="36" t="str">
        <f t="shared" si="2"/>
        <v>-</v>
      </c>
      <c r="P18" s="36" t="str">
        <f t="shared" si="2"/>
        <v>-</v>
      </c>
      <c r="Q18" s="36" t="str">
        <f t="shared" si="2"/>
        <v>-</v>
      </c>
      <c r="R18" s="36" t="str">
        <f t="shared" si="2"/>
        <v>-</v>
      </c>
      <c r="S18" s="36" t="str">
        <f t="shared" si="2"/>
        <v>-</v>
      </c>
      <c r="T18" s="36" t="str">
        <f t="shared" si="2"/>
        <v>-</v>
      </c>
      <c r="U18" s="36" t="str">
        <f t="shared" si="2"/>
        <v>-</v>
      </c>
      <c r="V18" s="36" t="str">
        <f t="shared" si="2"/>
        <v>-</v>
      </c>
      <c r="W18" s="36" t="str">
        <f t="shared" si="2"/>
        <v>-</v>
      </c>
      <c r="X18" s="36" t="str">
        <f t="shared" si="2"/>
        <v>-</v>
      </c>
      <c r="Y18" s="36" t="str">
        <f t="shared" si="2"/>
        <v>-</v>
      </c>
      <c r="Z18" s="36" t="str">
        <f t="shared" si="2"/>
        <v>-</v>
      </c>
      <c r="AE18" s="54">
        <v>6</v>
      </c>
      <c r="AF18" t="str">
        <f t="shared" si="1"/>
        <v>X</v>
      </c>
      <c r="AG18" t="str">
        <f t="shared" si="1"/>
        <v>X</v>
      </c>
      <c r="AH18" t="str">
        <f t="shared" si="1"/>
        <v>X</v>
      </c>
      <c r="AI18" t="str">
        <f t="shared" si="1"/>
        <v>X</v>
      </c>
      <c r="AJ18" t="str">
        <f t="shared" si="1"/>
        <v>X</v>
      </c>
      <c r="AK18" t="str">
        <f t="shared" si="1"/>
        <v>X</v>
      </c>
      <c r="AL18" t="str">
        <f t="shared" si="1"/>
        <v>X</v>
      </c>
      <c r="AM18" t="str">
        <f t="shared" si="1"/>
        <v>X</v>
      </c>
      <c r="AN18" t="str">
        <f t="shared" si="1"/>
        <v>X</v>
      </c>
      <c r="AO18" t="str">
        <f t="shared" si="1"/>
        <v>X</v>
      </c>
      <c r="AP18" t="str">
        <f t="shared" si="1"/>
        <v>X</v>
      </c>
      <c r="AQ18" t="str">
        <f t="shared" si="1"/>
        <v/>
      </c>
      <c r="AR18" t="str">
        <f t="shared" si="1"/>
        <v/>
      </c>
      <c r="AS18" t="str">
        <f t="shared" si="1"/>
        <v/>
      </c>
      <c r="AT18" t="str">
        <f t="shared" si="1"/>
        <v/>
      </c>
      <c r="AU18" t="str">
        <f t="shared" si="1"/>
        <v/>
      </c>
      <c r="AV18" t="str">
        <f t="shared" si="4"/>
        <v/>
      </c>
      <c r="AW18" t="str">
        <f t="shared" si="4"/>
        <v/>
      </c>
      <c r="AX18" t="str">
        <f t="shared" si="4"/>
        <v/>
      </c>
      <c r="AY18" t="str">
        <f t="shared" si="4"/>
        <v/>
      </c>
      <c r="AZ18" t="str">
        <f t="shared" si="4"/>
        <v/>
      </c>
      <c r="BA18" t="str">
        <f t="shared" si="4"/>
        <v/>
      </c>
      <c r="BB18" t="str">
        <f t="shared" si="4"/>
        <v/>
      </c>
    </row>
    <row r="19" spans="1:54" x14ac:dyDescent="0.55000000000000004">
      <c r="A19" s="83"/>
      <c r="B19" s="83"/>
      <c r="C19" s="54">
        <v>4.75</v>
      </c>
      <c r="D19" s="36">
        <f t="shared" si="3"/>
        <v>110</v>
      </c>
      <c r="E19" s="36">
        <f t="shared" si="2"/>
        <v>80</v>
      </c>
      <c r="F19" s="36">
        <f t="shared" si="2"/>
        <v>80</v>
      </c>
      <c r="G19" s="36">
        <f t="shared" si="2"/>
        <v>50</v>
      </c>
      <c r="H19" s="36">
        <f t="shared" si="2"/>
        <v>50</v>
      </c>
      <c r="I19" s="36">
        <f t="shared" si="2"/>
        <v>40</v>
      </c>
      <c r="J19" s="36">
        <f t="shared" si="2"/>
        <v>20</v>
      </c>
      <c r="K19" s="36">
        <f t="shared" si="2"/>
        <v>20</v>
      </c>
      <c r="L19" s="36" t="str">
        <f t="shared" si="2"/>
        <v>-</v>
      </c>
      <c r="M19" s="36" t="str">
        <f t="shared" si="2"/>
        <v>-</v>
      </c>
      <c r="N19" s="36" t="str">
        <f t="shared" si="2"/>
        <v>-</v>
      </c>
      <c r="O19" s="36" t="str">
        <f t="shared" si="2"/>
        <v>-</v>
      </c>
      <c r="P19" s="36" t="str">
        <f t="shared" si="2"/>
        <v>-</v>
      </c>
      <c r="Q19" s="36" t="str">
        <f t="shared" si="2"/>
        <v>-</v>
      </c>
      <c r="R19" s="36" t="str">
        <f t="shared" ref="R19:Z50" si="5">IF($C19&gt;=(4*R$82),((ROUNDUP((IF(((R$6*$C19+2*R$7)*(ROUNDDOWN($AC$2/R$2,0)*ROUNDDOWN($AC$3/R$3,0)*ROUNDDOWN($AC$4/($C19*25.4),0)))&lt;=20,((ROUNDDOWN($AC$2/R$2,0))*(ROUNDDOWN($AC$3/R$3,0))*(ROUNDDOWN($AC$4/($C19*25.4),0))),20/(R$6*$C19+2*R$7)))/10,0))*10),"-")</f>
        <v>-</v>
      </c>
      <c r="S19" s="36" t="str">
        <f t="shared" si="5"/>
        <v>-</v>
      </c>
      <c r="T19" s="36" t="str">
        <f t="shared" si="5"/>
        <v>-</v>
      </c>
      <c r="U19" s="36" t="str">
        <f t="shared" si="5"/>
        <v>-</v>
      </c>
      <c r="V19" s="36" t="str">
        <f t="shared" si="5"/>
        <v>-</v>
      </c>
      <c r="W19" s="36" t="str">
        <f t="shared" si="5"/>
        <v>-</v>
      </c>
      <c r="X19" s="36" t="str">
        <f t="shared" si="5"/>
        <v>-</v>
      </c>
      <c r="Y19" s="36" t="str">
        <f t="shared" si="5"/>
        <v>-</v>
      </c>
      <c r="Z19" s="36" t="str">
        <f t="shared" si="5"/>
        <v>-</v>
      </c>
      <c r="AE19" s="54">
        <v>6.25</v>
      </c>
      <c r="AF19" t="str">
        <f t="shared" si="1"/>
        <v>X</v>
      </c>
      <c r="AG19" t="str">
        <f t="shared" si="1"/>
        <v>X</v>
      </c>
      <c r="AH19" t="str">
        <f t="shared" si="1"/>
        <v>X</v>
      </c>
      <c r="AI19" t="str">
        <f t="shared" si="1"/>
        <v>X</v>
      </c>
      <c r="AJ19" t="str">
        <f t="shared" si="1"/>
        <v>X</v>
      </c>
      <c r="AK19" t="str">
        <f t="shared" si="1"/>
        <v>X</v>
      </c>
      <c r="AL19" t="str">
        <f t="shared" si="1"/>
        <v>X</v>
      </c>
      <c r="AM19" t="str">
        <f t="shared" si="1"/>
        <v>X</v>
      </c>
      <c r="AN19" t="str">
        <f t="shared" si="1"/>
        <v>X</v>
      </c>
      <c r="AO19" t="str">
        <f t="shared" si="1"/>
        <v>X</v>
      </c>
      <c r="AP19" t="str">
        <f t="shared" si="1"/>
        <v>X</v>
      </c>
      <c r="AQ19" t="str">
        <f t="shared" si="1"/>
        <v/>
      </c>
      <c r="AR19" t="str">
        <f t="shared" si="1"/>
        <v/>
      </c>
      <c r="AS19" t="str">
        <f t="shared" si="1"/>
        <v/>
      </c>
      <c r="AT19" t="str">
        <f t="shared" si="1"/>
        <v/>
      </c>
      <c r="AU19" t="str">
        <f t="shared" si="1"/>
        <v/>
      </c>
      <c r="AV19" t="str">
        <f t="shared" si="4"/>
        <v/>
      </c>
      <c r="AW19" t="str">
        <f t="shared" si="4"/>
        <v/>
      </c>
      <c r="AX19" t="str">
        <f t="shared" si="4"/>
        <v/>
      </c>
      <c r="AY19" t="str">
        <f t="shared" si="4"/>
        <v/>
      </c>
      <c r="AZ19" t="str">
        <f t="shared" si="4"/>
        <v/>
      </c>
      <c r="BA19" t="str">
        <f t="shared" si="4"/>
        <v/>
      </c>
      <c r="BB19" t="str">
        <f t="shared" si="4"/>
        <v/>
      </c>
    </row>
    <row r="20" spans="1:54" x14ac:dyDescent="0.55000000000000004">
      <c r="A20" s="83"/>
      <c r="B20" s="83"/>
      <c r="C20" s="54">
        <v>5</v>
      </c>
      <c r="D20" s="36">
        <f t="shared" si="3"/>
        <v>110</v>
      </c>
      <c r="E20" s="36">
        <f t="shared" si="3"/>
        <v>80</v>
      </c>
      <c r="F20" s="36">
        <f t="shared" si="3"/>
        <v>80</v>
      </c>
      <c r="G20" s="36">
        <f t="shared" si="3"/>
        <v>50</v>
      </c>
      <c r="H20" s="36">
        <f t="shared" si="3"/>
        <v>50</v>
      </c>
      <c r="I20" s="36">
        <f t="shared" si="3"/>
        <v>40</v>
      </c>
      <c r="J20" s="36">
        <f t="shared" si="3"/>
        <v>20</v>
      </c>
      <c r="K20" s="36">
        <f t="shared" si="3"/>
        <v>20</v>
      </c>
      <c r="L20" s="36">
        <f t="shared" si="3"/>
        <v>10</v>
      </c>
      <c r="M20" s="36" t="str">
        <f t="shared" si="3"/>
        <v>-</v>
      </c>
      <c r="N20" s="36" t="str">
        <f t="shared" si="3"/>
        <v>-</v>
      </c>
      <c r="O20" s="36" t="str">
        <f t="shared" si="3"/>
        <v>-</v>
      </c>
      <c r="P20" s="36" t="str">
        <f t="shared" si="3"/>
        <v>-</v>
      </c>
      <c r="Q20" s="36" t="str">
        <f t="shared" si="3"/>
        <v>-</v>
      </c>
      <c r="R20" s="36" t="str">
        <f t="shared" si="3"/>
        <v>-</v>
      </c>
      <c r="S20" s="36" t="str">
        <f t="shared" si="3"/>
        <v>-</v>
      </c>
      <c r="T20" s="36" t="str">
        <f t="shared" si="5"/>
        <v>-</v>
      </c>
      <c r="U20" s="36" t="str">
        <f t="shared" si="5"/>
        <v>-</v>
      </c>
      <c r="V20" s="36" t="str">
        <f t="shared" si="5"/>
        <v>-</v>
      </c>
      <c r="W20" s="36" t="str">
        <f t="shared" si="5"/>
        <v>-</v>
      </c>
      <c r="X20" s="36" t="str">
        <f t="shared" si="5"/>
        <v>-</v>
      </c>
      <c r="Y20" s="36" t="str">
        <f t="shared" si="5"/>
        <v>-</v>
      </c>
      <c r="Z20" s="36" t="str">
        <f t="shared" si="5"/>
        <v>-</v>
      </c>
      <c r="AE20" s="54">
        <v>6.5</v>
      </c>
      <c r="AF20" t="str">
        <f t="shared" si="1"/>
        <v>X</v>
      </c>
      <c r="AG20" t="str">
        <f t="shared" si="1"/>
        <v>X</v>
      </c>
      <c r="AH20" t="str">
        <f t="shared" si="1"/>
        <v>X</v>
      </c>
      <c r="AI20" t="str">
        <f t="shared" si="1"/>
        <v>X</v>
      </c>
      <c r="AJ20" t="str">
        <f t="shared" si="1"/>
        <v>X</v>
      </c>
      <c r="AK20" t="str">
        <f t="shared" si="1"/>
        <v>X</v>
      </c>
      <c r="AL20" t="str">
        <f t="shared" si="1"/>
        <v>X</v>
      </c>
      <c r="AM20" t="str">
        <f t="shared" si="1"/>
        <v>X</v>
      </c>
      <c r="AN20" t="str">
        <f t="shared" si="1"/>
        <v>X</v>
      </c>
      <c r="AO20" t="str">
        <f t="shared" si="1"/>
        <v>X</v>
      </c>
      <c r="AP20" t="str">
        <f t="shared" si="1"/>
        <v>X</v>
      </c>
      <c r="AQ20" t="str">
        <f t="shared" si="1"/>
        <v>X</v>
      </c>
      <c r="AR20" t="str">
        <f t="shared" si="1"/>
        <v/>
      </c>
      <c r="AS20" t="str">
        <f t="shared" si="1"/>
        <v/>
      </c>
      <c r="AT20" t="str">
        <f t="shared" si="1"/>
        <v/>
      </c>
      <c r="AU20" t="str">
        <f t="shared" si="1"/>
        <v/>
      </c>
      <c r="AV20" t="str">
        <f t="shared" si="4"/>
        <v/>
      </c>
      <c r="AW20" t="str">
        <f t="shared" si="4"/>
        <v/>
      </c>
      <c r="AX20" t="str">
        <f t="shared" si="4"/>
        <v/>
      </c>
      <c r="AY20" t="str">
        <f t="shared" si="4"/>
        <v/>
      </c>
      <c r="AZ20" t="str">
        <f t="shared" si="4"/>
        <v/>
      </c>
      <c r="BA20" t="str">
        <f t="shared" si="4"/>
        <v/>
      </c>
      <c r="BB20" t="str">
        <f t="shared" si="4"/>
        <v/>
      </c>
    </row>
    <row r="21" spans="1:54" x14ac:dyDescent="0.55000000000000004">
      <c r="A21" s="83"/>
      <c r="B21" s="83"/>
      <c r="C21" s="54">
        <v>5.25</v>
      </c>
      <c r="D21" s="36">
        <f t="shared" si="3"/>
        <v>110</v>
      </c>
      <c r="E21" s="36">
        <f t="shared" si="3"/>
        <v>80</v>
      </c>
      <c r="F21" s="36">
        <f t="shared" si="3"/>
        <v>80</v>
      </c>
      <c r="G21" s="36">
        <f t="shared" si="3"/>
        <v>50</v>
      </c>
      <c r="H21" s="36">
        <f t="shared" si="3"/>
        <v>50</v>
      </c>
      <c r="I21" s="36">
        <f t="shared" si="3"/>
        <v>40</v>
      </c>
      <c r="J21" s="36">
        <f t="shared" si="3"/>
        <v>20</v>
      </c>
      <c r="K21" s="36">
        <f t="shared" si="3"/>
        <v>20</v>
      </c>
      <c r="L21" s="36">
        <f t="shared" si="3"/>
        <v>10</v>
      </c>
      <c r="M21" s="36" t="str">
        <f t="shared" si="3"/>
        <v>-</v>
      </c>
      <c r="N21" s="36" t="str">
        <f t="shared" si="3"/>
        <v>-</v>
      </c>
      <c r="O21" s="36" t="str">
        <f t="shared" si="3"/>
        <v>-</v>
      </c>
      <c r="P21" s="36" t="str">
        <f t="shared" si="3"/>
        <v>-</v>
      </c>
      <c r="Q21" s="36" t="str">
        <f t="shared" si="3"/>
        <v>-</v>
      </c>
      <c r="R21" s="36" t="str">
        <f t="shared" si="3"/>
        <v>-</v>
      </c>
      <c r="S21" s="36" t="str">
        <f t="shared" si="3"/>
        <v>-</v>
      </c>
      <c r="T21" s="36" t="str">
        <f t="shared" si="5"/>
        <v>-</v>
      </c>
      <c r="U21" s="36" t="str">
        <f t="shared" si="5"/>
        <v>-</v>
      </c>
      <c r="V21" s="36" t="str">
        <f t="shared" si="5"/>
        <v>-</v>
      </c>
      <c r="W21" s="36" t="str">
        <f t="shared" si="5"/>
        <v>-</v>
      </c>
      <c r="X21" s="36" t="str">
        <f t="shared" si="5"/>
        <v>-</v>
      </c>
      <c r="Y21" s="36" t="str">
        <f t="shared" si="5"/>
        <v>-</v>
      </c>
      <c r="Z21" s="36" t="str">
        <f t="shared" si="5"/>
        <v>-</v>
      </c>
      <c r="AE21" s="54">
        <v>6.75</v>
      </c>
      <c r="AF21" t="str">
        <f t="shared" si="1"/>
        <v>X</v>
      </c>
      <c r="AG21" t="str">
        <f t="shared" si="1"/>
        <v>X</v>
      </c>
      <c r="AH21" t="str">
        <f t="shared" si="1"/>
        <v>X</v>
      </c>
      <c r="AI21" t="str">
        <f t="shared" si="1"/>
        <v>X</v>
      </c>
      <c r="AJ21" t="str">
        <f t="shared" si="1"/>
        <v>X</v>
      </c>
      <c r="AK21" t="str">
        <f t="shared" si="1"/>
        <v>X</v>
      </c>
      <c r="AL21" t="str">
        <f t="shared" si="1"/>
        <v>X</v>
      </c>
      <c r="AM21" t="str">
        <f t="shared" si="1"/>
        <v>X</v>
      </c>
      <c r="AN21" t="str">
        <f t="shared" si="1"/>
        <v>X</v>
      </c>
      <c r="AO21" t="str">
        <f t="shared" si="1"/>
        <v>X</v>
      </c>
      <c r="AP21" t="str">
        <f t="shared" si="1"/>
        <v>X</v>
      </c>
      <c r="AQ21" t="str">
        <f t="shared" si="1"/>
        <v>X</v>
      </c>
      <c r="AR21" t="str">
        <f t="shared" si="1"/>
        <v/>
      </c>
      <c r="AS21" t="str">
        <f t="shared" si="1"/>
        <v/>
      </c>
      <c r="AT21" t="str">
        <f t="shared" si="1"/>
        <v/>
      </c>
      <c r="AU21" t="str">
        <f t="shared" si="1"/>
        <v/>
      </c>
      <c r="AV21" t="str">
        <f t="shared" si="4"/>
        <v/>
      </c>
      <c r="AW21" t="str">
        <f t="shared" si="4"/>
        <v/>
      </c>
      <c r="AX21" t="str">
        <f t="shared" si="4"/>
        <v/>
      </c>
      <c r="AY21" t="str">
        <f t="shared" si="4"/>
        <v/>
      </c>
      <c r="AZ21" t="str">
        <f t="shared" si="4"/>
        <v/>
      </c>
      <c r="BA21" t="str">
        <f t="shared" si="4"/>
        <v/>
      </c>
      <c r="BB21" t="str">
        <f t="shared" si="4"/>
        <v/>
      </c>
    </row>
    <row r="22" spans="1:54" x14ac:dyDescent="0.55000000000000004">
      <c r="A22" s="83"/>
      <c r="B22" s="83"/>
      <c r="C22" s="54">
        <v>5.5</v>
      </c>
      <c r="D22" s="36">
        <f t="shared" si="3"/>
        <v>110</v>
      </c>
      <c r="E22" s="36">
        <f t="shared" si="3"/>
        <v>80</v>
      </c>
      <c r="F22" s="36">
        <f t="shared" si="3"/>
        <v>80</v>
      </c>
      <c r="G22" s="36">
        <f t="shared" si="3"/>
        <v>50</v>
      </c>
      <c r="H22" s="36">
        <f t="shared" si="3"/>
        <v>50</v>
      </c>
      <c r="I22" s="36">
        <f t="shared" si="3"/>
        <v>40</v>
      </c>
      <c r="J22" s="36">
        <f t="shared" si="3"/>
        <v>20</v>
      </c>
      <c r="K22" s="36">
        <f t="shared" si="3"/>
        <v>20</v>
      </c>
      <c r="L22" s="36">
        <f t="shared" si="3"/>
        <v>10</v>
      </c>
      <c r="M22" s="36">
        <f t="shared" si="3"/>
        <v>10</v>
      </c>
      <c r="N22" s="36" t="str">
        <f t="shared" si="3"/>
        <v>-</v>
      </c>
      <c r="O22" s="36" t="str">
        <f t="shared" si="3"/>
        <v>-</v>
      </c>
      <c r="P22" s="36" t="str">
        <f t="shared" si="3"/>
        <v>-</v>
      </c>
      <c r="Q22" s="36" t="str">
        <f t="shared" si="3"/>
        <v>-</v>
      </c>
      <c r="R22" s="36" t="str">
        <f t="shared" si="3"/>
        <v>-</v>
      </c>
      <c r="S22" s="36" t="str">
        <f t="shared" si="3"/>
        <v>-</v>
      </c>
      <c r="T22" s="36" t="str">
        <f t="shared" si="5"/>
        <v>-</v>
      </c>
      <c r="U22" s="36" t="str">
        <f t="shared" si="5"/>
        <v>-</v>
      </c>
      <c r="V22" s="36" t="str">
        <f t="shared" si="5"/>
        <v>-</v>
      </c>
      <c r="W22" s="36" t="str">
        <f t="shared" si="5"/>
        <v>-</v>
      </c>
      <c r="X22" s="36" t="str">
        <f t="shared" si="5"/>
        <v>-</v>
      </c>
      <c r="Y22" s="36" t="str">
        <f t="shared" si="5"/>
        <v>-</v>
      </c>
      <c r="Z22" s="36" t="str">
        <f t="shared" si="5"/>
        <v>-</v>
      </c>
      <c r="AE22" s="54">
        <v>7</v>
      </c>
      <c r="AF22" t="str">
        <f t="shared" si="1"/>
        <v>X</v>
      </c>
      <c r="AG22" t="str">
        <f t="shared" si="1"/>
        <v>X</v>
      </c>
      <c r="AH22" t="str">
        <f t="shared" si="1"/>
        <v>X</v>
      </c>
      <c r="AI22" t="str">
        <f t="shared" si="1"/>
        <v>X</v>
      </c>
      <c r="AJ22" t="str">
        <f t="shared" si="1"/>
        <v>X</v>
      </c>
      <c r="AK22" t="str">
        <f t="shared" si="1"/>
        <v>X</v>
      </c>
      <c r="AL22" t="str">
        <f t="shared" si="1"/>
        <v>X</v>
      </c>
      <c r="AM22" t="str">
        <f t="shared" si="1"/>
        <v>X</v>
      </c>
      <c r="AN22" t="str">
        <f t="shared" si="1"/>
        <v>X</v>
      </c>
      <c r="AO22" t="str">
        <f t="shared" si="1"/>
        <v>X</v>
      </c>
      <c r="AP22" t="str">
        <f t="shared" si="1"/>
        <v>X</v>
      </c>
      <c r="AQ22" t="str">
        <f t="shared" si="1"/>
        <v>X</v>
      </c>
      <c r="AR22" t="str">
        <f t="shared" si="1"/>
        <v>X</v>
      </c>
      <c r="AS22" t="str">
        <f t="shared" si="1"/>
        <v/>
      </c>
      <c r="AT22" t="str">
        <f t="shared" si="1"/>
        <v/>
      </c>
      <c r="AU22" t="str">
        <f t="shared" si="1"/>
        <v/>
      </c>
      <c r="AV22" t="str">
        <f t="shared" si="4"/>
        <v/>
      </c>
      <c r="AW22" t="str">
        <f t="shared" si="4"/>
        <v/>
      </c>
      <c r="AX22" t="str">
        <f t="shared" si="4"/>
        <v/>
      </c>
      <c r="AY22" t="str">
        <f t="shared" si="4"/>
        <v/>
      </c>
      <c r="AZ22" t="str">
        <f t="shared" si="4"/>
        <v/>
      </c>
      <c r="BA22" t="str">
        <f t="shared" si="4"/>
        <v/>
      </c>
      <c r="BB22" t="str">
        <f t="shared" si="4"/>
        <v/>
      </c>
    </row>
    <row r="23" spans="1:54" x14ac:dyDescent="0.55000000000000004">
      <c r="A23" s="83"/>
      <c r="B23" s="83"/>
      <c r="C23" s="54">
        <v>5.75</v>
      </c>
      <c r="D23" s="36">
        <f t="shared" si="3"/>
        <v>110</v>
      </c>
      <c r="E23" s="36">
        <f t="shared" si="3"/>
        <v>80</v>
      </c>
      <c r="F23" s="36">
        <f t="shared" si="3"/>
        <v>80</v>
      </c>
      <c r="G23" s="36">
        <f t="shared" si="3"/>
        <v>50</v>
      </c>
      <c r="H23" s="36">
        <f t="shared" si="3"/>
        <v>50</v>
      </c>
      <c r="I23" s="36">
        <f t="shared" si="3"/>
        <v>40</v>
      </c>
      <c r="J23" s="36">
        <f t="shared" si="3"/>
        <v>20</v>
      </c>
      <c r="K23" s="36">
        <f t="shared" si="3"/>
        <v>20</v>
      </c>
      <c r="L23" s="36">
        <f t="shared" si="3"/>
        <v>10</v>
      </c>
      <c r="M23" s="36">
        <f t="shared" si="3"/>
        <v>10</v>
      </c>
      <c r="N23" s="36" t="str">
        <f t="shared" si="3"/>
        <v>-</v>
      </c>
      <c r="O23" s="36" t="str">
        <f t="shared" si="3"/>
        <v>-</v>
      </c>
      <c r="P23" s="36" t="str">
        <f t="shared" si="3"/>
        <v>-</v>
      </c>
      <c r="Q23" s="36" t="str">
        <f t="shared" si="3"/>
        <v>-</v>
      </c>
      <c r="R23" s="36" t="str">
        <f t="shared" si="3"/>
        <v>-</v>
      </c>
      <c r="S23" s="36" t="str">
        <f t="shared" si="3"/>
        <v>-</v>
      </c>
      <c r="T23" s="36" t="str">
        <f t="shared" si="5"/>
        <v>-</v>
      </c>
      <c r="U23" s="36" t="str">
        <f t="shared" si="5"/>
        <v>-</v>
      </c>
      <c r="V23" s="36" t="str">
        <f t="shared" si="5"/>
        <v>-</v>
      </c>
      <c r="W23" s="36" t="str">
        <f t="shared" si="5"/>
        <v>-</v>
      </c>
      <c r="X23" s="36" t="str">
        <f t="shared" si="5"/>
        <v>-</v>
      </c>
      <c r="Y23" s="36" t="str">
        <f t="shared" si="5"/>
        <v>-</v>
      </c>
      <c r="Z23" s="36" t="str">
        <f t="shared" si="5"/>
        <v>-</v>
      </c>
      <c r="AE23" s="54">
        <v>7.25</v>
      </c>
      <c r="AF23" t="str">
        <f t="shared" si="1"/>
        <v>X</v>
      </c>
      <c r="AG23" t="str">
        <f t="shared" si="1"/>
        <v>X</v>
      </c>
      <c r="AH23" t="str">
        <f t="shared" si="1"/>
        <v>X</v>
      </c>
      <c r="AI23" t="str">
        <f t="shared" si="1"/>
        <v>X</v>
      </c>
      <c r="AJ23" t="str">
        <f t="shared" si="1"/>
        <v>X</v>
      </c>
      <c r="AK23" t="str">
        <f t="shared" si="1"/>
        <v>X</v>
      </c>
      <c r="AL23" t="str">
        <f t="shared" si="1"/>
        <v>X</v>
      </c>
      <c r="AM23" t="str">
        <f t="shared" si="1"/>
        <v>X</v>
      </c>
      <c r="AN23" t="str">
        <f t="shared" si="1"/>
        <v>X</v>
      </c>
      <c r="AO23" t="str">
        <f t="shared" si="1"/>
        <v>X</v>
      </c>
      <c r="AP23" t="str">
        <f t="shared" si="1"/>
        <v>X</v>
      </c>
      <c r="AQ23" t="str">
        <f t="shared" si="1"/>
        <v>X</v>
      </c>
      <c r="AR23" t="str">
        <f t="shared" si="1"/>
        <v>X</v>
      </c>
      <c r="AS23" t="str">
        <f t="shared" si="1"/>
        <v/>
      </c>
      <c r="AT23" t="str">
        <f t="shared" si="1"/>
        <v/>
      </c>
      <c r="AU23" t="str">
        <f t="shared" si="1"/>
        <v/>
      </c>
      <c r="AV23" t="str">
        <f t="shared" si="4"/>
        <v/>
      </c>
      <c r="AW23" t="str">
        <f t="shared" si="4"/>
        <v/>
      </c>
      <c r="AX23" t="str">
        <f t="shared" si="4"/>
        <v/>
      </c>
      <c r="AY23" t="str">
        <f t="shared" si="4"/>
        <v/>
      </c>
      <c r="AZ23" t="str">
        <f t="shared" si="4"/>
        <v/>
      </c>
      <c r="BA23" t="str">
        <f t="shared" si="4"/>
        <v/>
      </c>
      <c r="BB23" t="str">
        <f t="shared" si="4"/>
        <v/>
      </c>
    </row>
    <row r="24" spans="1:54" x14ac:dyDescent="0.55000000000000004">
      <c r="A24" s="83"/>
      <c r="B24" s="83"/>
      <c r="C24" s="54">
        <v>6</v>
      </c>
      <c r="D24" s="36">
        <f t="shared" si="3"/>
        <v>60</v>
      </c>
      <c r="E24" s="36">
        <f t="shared" si="3"/>
        <v>40</v>
      </c>
      <c r="F24" s="36">
        <f t="shared" si="3"/>
        <v>40</v>
      </c>
      <c r="G24" s="36">
        <f t="shared" si="3"/>
        <v>30</v>
      </c>
      <c r="H24" s="36">
        <f t="shared" si="3"/>
        <v>30</v>
      </c>
      <c r="I24" s="36">
        <f t="shared" si="3"/>
        <v>20</v>
      </c>
      <c r="J24" s="36">
        <f t="shared" si="3"/>
        <v>10</v>
      </c>
      <c r="K24" s="36">
        <f t="shared" si="3"/>
        <v>10</v>
      </c>
      <c r="L24" s="36">
        <f t="shared" si="3"/>
        <v>10</v>
      </c>
      <c r="M24" s="36">
        <f t="shared" si="3"/>
        <v>10</v>
      </c>
      <c r="N24" s="36">
        <f t="shared" si="3"/>
        <v>10</v>
      </c>
      <c r="O24" s="36" t="str">
        <f t="shared" si="3"/>
        <v>-</v>
      </c>
      <c r="P24" s="36" t="str">
        <f t="shared" si="3"/>
        <v>-</v>
      </c>
      <c r="Q24" s="36" t="str">
        <f t="shared" si="3"/>
        <v>-</v>
      </c>
      <c r="R24" s="36" t="str">
        <f t="shared" si="3"/>
        <v>-</v>
      </c>
      <c r="S24" s="36" t="str">
        <f t="shared" si="3"/>
        <v>-</v>
      </c>
      <c r="T24" s="36" t="str">
        <f t="shared" si="5"/>
        <v>-</v>
      </c>
      <c r="U24" s="36" t="str">
        <f t="shared" si="5"/>
        <v>-</v>
      </c>
      <c r="V24" s="36" t="str">
        <f t="shared" si="5"/>
        <v>-</v>
      </c>
      <c r="W24" s="36" t="str">
        <f t="shared" si="5"/>
        <v>-</v>
      </c>
      <c r="X24" s="36" t="str">
        <f t="shared" si="5"/>
        <v>-</v>
      </c>
      <c r="Y24" s="36" t="str">
        <f t="shared" si="5"/>
        <v>-</v>
      </c>
      <c r="Z24" s="36" t="str">
        <f t="shared" si="5"/>
        <v>-</v>
      </c>
      <c r="AE24" s="54">
        <v>7.5</v>
      </c>
      <c r="AF24" t="str">
        <f t="shared" si="1"/>
        <v>X</v>
      </c>
      <c r="AG24" t="str">
        <f t="shared" si="1"/>
        <v>X</v>
      </c>
      <c r="AH24" t="str">
        <f t="shared" si="1"/>
        <v>X</v>
      </c>
      <c r="AI24" t="str">
        <f t="shared" si="1"/>
        <v>X</v>
      </c>
      <c r="AJ24" t="str">
        <f t="shared" si="1"/>
        <v>X</v>
      </c>
      <c r="AK24" t="str">
        <f t="shared" si="1"/>
        <v>X</v>
      </c>
      <c r="AL24" t="str">
        <f t="shared" si="1"/>
        <v>X</v>
      </c>
      <c r="AM24" t="str">
        <f t="shared" si="1"/>
        <v>X</v>
      </c>
      <c r="AN24" t="str">
        <f t="shared" si="1"/>
        <v>X</v>
      </c>
      <c r="AO24" t="str">
        <f t="shared" si="1"/>
        <v>X</v>
      </c>
      <c r="AP24" t="str">
        <f t="shared" si="1"/>
        <v>X</v>
      </c>
      <c r="AQ24" t="str">
        <f t="shared" si="1"/>
        <v>X</v>
      </c>
      <c r="AR24" t="str">
        <f t="shared" si="1"/>
        <v>X</v>
      </c>
      <c r="AS24" t="str">
        <f t="shared" si="1"/>
        <v>X</v>
      </c>
      <c r="AT24" t="str">
        <f t="shared" si="1"/>
        <v/>
      </c>
      <c r="AU24" t="str">
        <f t="shared" si="1"/>
        <v/>
      </c>
      <c r="AV24" t="str">
        <f t="shared" si="4"/>
        <v/>
      </c>
      <c r="AW24" t="str">
        <f t="shared" si="4"/>
        <v/>
      </c>
      <c r="AX24" t="str">
        <f t="shared" si="4"/>
        <v/>
      </c>
      <c r="AY24" t="str">
        <f t="shared" si="4"/>
        <v/>
      </c>
      <c r="AZ24" t="str">
        <f t="shared" si="4"/>
        <v/>
      </c>
      <c r="BA24" t="str">
        <f t="shared" si="4"/>
        <v/>
      </c>
      <c r="BB24" t="str">
        <f t="shared" si="4"/>
        <v/>
      </c>
    </row>
    <row r="25" spans="1:54" x14ac:dyDescent="0.55000000000000004">
      <c r="A25" s="83"/>
      <c r="B25" s="83"/>
      <c r="C25" s="54">
        <v>6.25</v>
      </c>
      <c r="D25" s="36">
        <f t="shared" si="3"/>
        <v>60</v>
      </c>
      <c r="E25" s="36">
        <f t="shared" si="3"/>
        <v>40</v>
      </c>
      <c r="F25" s="36">
        <f t="shared" si="3"/>
        <v>40</v>
      </c>
      <c r="G25" s="36">
        <f t="shared" si="3"/>
        <v>30</v>
      </c>
      <c r="H25" s="36">
        <f t="shared" si="3"/>
        <v>30</v>
      </c>
      <c r="I25" s="36">
        <f t="shared" si="3"/>
        <v>20</v>
      </c>
      <c r="J25" s="36">
        <f t="shared" si="3"/>
        <v>10</v>
      </c>
      <c r="K25" s="36">
        <f t="shared" si="3"/>
        <v>10</v>
      </c>
      <c r="L25" s="36">
        <f t="shared" si="3"/>
        <v>10</v>
      </c>
      <c r="M25" s="36">
        <f t="shared" si="3"/>
        <v>10</v>
      </c>
      <c r="N25" s="36">
        <f t="shared" si="3"/>
        <v>10</v>
      </c>
      <c r="O25" s="36" t="str">
        <f t="shared" si="3"/>
        <v>-</v>
      </c>
      <c r="P25" s="36" t="str">
        <f t="shared" si="3"/>
        <v>-</v>
      </c>
      <c r="Q25" s="36" t="str">
        <f t="shared" si="3"/>
        <v>-</v>
      </c>
      <c r="R25" s="36" t="str">
        <f t="shared" si="3"/>
        <v>-</v>
      </c>
      <c r="S25" s="36" t="str">
        <f t="shared" si="3"/>
        <v>-</v>
      </c>
      <c r="T25" s="36" t="str">
        <f t="shared" si="5"/>
        <v>-</v>
      </c>
      <c r="U25" s="36" t="str">
        <f t="shared" si="5"/>
        <v>-</v>
      </c>
      <c r="V25" s="36" t="str">
        <f t="shared" si="5"/>
        <v>-</v>
      </c>
      <c r="W25" s="36" t="str">
        <f t="shared" si="5"/>
        <v>-</v>
      </c>
      <c r="X25" s="36" t="str">
        <f t="shared" si="5"/>
        <v>-</v>
      </c>
      <c r="Y25" s="36" t="str">
        <f t="shared" si="5"/>
        <v>-</v>
      </c>
      <c r="Z25" s="36" t="str">
        <f t="shared" si="5"/>
        <v>-</v>
      </c>
      <c r="AE25" s="54">
        <v>7.75</v>
      </c>
      <c r="AF25" t="str">
        <f t="shared" si="1"/>
        <v>X</v>
      </c>
      <c r="AG25" t="str">
        <f t="shared" si="1"/>
        <v>X</v>
      </c>
      <c r="AH25" t="str">
        <f t="shared" si="1"/>
        <v>X</v>
      </c>
      <c r="AI25" t="str">
        <f t="shared" si="1"/>
        <v>X</v>
      </c>
      <c r="AJ25" t="str">
        <f t="shared" si="1"/>
        <v>X</v>
      </c>
      <c r="AK25" t="str">
        <f t="shared" si="1"/>
        <v>X</v>
      </c>
      <c r="AL25" t="str">
        <f t="shared" si="1"/>
        <v>X</v>
      </c>
      <c r="AM25" t="str">
        <f t="shared" si="1"/>
        <v>X</v>
      </c>
      <c r="AN25" t="str">
        <f t="shared" si="1"/>
        <v>X</v>
      </c>
      <c r="AO25" t="str">
        <f t="shared" si="1"/>
        <v>X</v>
      </c>
      <c r="AP25" t="str">
        <f t="shared" si="1"/>
        <v>X</v>
      </c>
      <c r="AQ25" t="str">
        <f t="shared" si="1"/>
        <v>X</v>
      </c>
      <c r="AR25" t="str">
        <f t="shared" si="1"/>
        <v>X</v>
      </c>
      <c r="AS25" t="str">
        <f t="shared" si="1"/>
        <v>X</v>
      </c>
      <c r="AT25" t="str">
        <f t="shared" si="1"/>
        <v/>
      </c>
      <c r="AU25" t="str">
        <f t="shared" si="1"/>
        <v/>
      </c>
      <c r="AV25" t="str">
        <f t="shared" si="4"/>
        <v/>
      </c>
      <c r="AW25" t="str">
        <f t="shared" si="4"/>
        <v/>
      </c>
      <c r="AX25" t="str">
        <f t="shared" si="4"/>
        <v/>
      </c>
      <c r="AY25" t="str">
        <f t="shared" si="4"/>
        <v/>
      </c>
      <c r="AZ25" t="str">
        <f t="shared" si="4"/>
        <v/>
      </c>
      <c r="BA25" t="str">
        <f t="shared" si="4"/>
        <v/>
      </c>
      <c r="BB25" t="str">
        <f t="shared" si="4"/>
        <v/>
      </c>
    </row>
    <row r="26" spans="1:54" x14ac:dyDescent="0.55000000000000004">
      <c r="A26" s="83"/>
      <c r="B26" s="83"/>
      <c r="C26" s="54">
        <v>6.5</v>
      </c>
      <c r="D26" s="36">
        <f t="shared" si="3"/>
        <v>60</v>
      </c>
      <c r="E26" s="36">
        <f t="shared" si="3"/>
        <v>40</v>
      </c>
      <c r="F26" s="36">
        <f t="shared" si="3"/>
        <v>40</v>
      </c>
      <c r="G26" s="36">
        <f t="shared" si="3"/>
        <v>30</v>
      </c>
      <c r="H26" s="36">
        <f t="shared" si="3"/>
        <v>30</v>
      </c>
      <c r="I26" s="36">
        <f t="shared" si="3"/>
        <v>20</v>
      </c>
      <c r="J26" s="36">
        <f t="shared" si="3"/>
        <v>10</v>
      </c>
      <c r="K26" s="36">
        <f t="shared" si="3"/>
        <v>10</v>
      </c>
      <c r="L26" s="36">
        <f t="shared" si="3"/>
        <v>10</v>
      </c>
      <c r="M26" s="36">
        <f t="shared" si="3"/>
        <v>10</v>
      </c>
      <c r="N26" s="36">
        <f t="shared" si="3"/>
        <v>10</v>
      </c>
      <c r="O26" s="36" t="str">
        <f t="shared" si="3"/>
        <v>-</v>
      </c>
      <c r="P26" s="36" t="str">
        <f t="shared" si="3"/>
        <v>-</v>
      </c>
      <c r="Q26" s="36" t="str">
        <f t="shared" si="3"/>
        <v>-</v>
      </c>
      <c r="R26" s="36" t="str">
        <f t="shared" si="3"/>
        <v>-</v>
      </c>
      <c r="S26" s="36" t="str">
        <f t="shared" si="3"/>
        <v>-</v>
      </c>
      <c r="T26" s="36" t="str">
        <f t="shared" si="5"/>
        <v>-</v>
      </c>
      <c r="U26" s="36" t="str">
        <f t="shared" si="5"/>
        <v>-</v>
      </c>
      <c r="V26" s="36" t="str">
        <f t="shared" si="5"/>
        <v>-</v>
      </c>
      <c r="W26" s="36" t="str">
        <f t="shared" si="5"/>
        <v>-</v>
      </c>
      <c r="X26" s="36" t="str">
        <f t="shared" si="5"/>
        <v>-</v>
      </c>
      <c r="Y26" s="36" t="str">
        <f t="shared" si="5"/>
        <v>-</v>
      </c>
      <c r="Z26" s="36" t="str">
        <f t="shared" si="5"/>
        <v>-</v>
      </c>
      <c r="AE26" s="54">
        <v>8</v>
      </c>
      <c r="AF26" t="str">
        <f t="shared" si="1"/>
        <v>X</v>
      </c>
      <c r="AG26" t="str">
        <f t="shared" si="1"/>
        <v>X</v>
      </c>
      <c r="AH26" t="str">
        <f t="shared" si="1"/>
        <v>X</v>
      </c>
      <c r="AI26" t="str">
        <f t="shared" si="1"/>
        <v>X</v>
      </c>
      <c r="AJ26" t="str">
        <f t="shared" si="1"/>
        <v>X</v>
      </c>
      <c r="AK26" t="str">
        <f t="shared" si="1"/>
        <v>X</v>
      </c>
      <c r="AL26" t="str">
        <f t="shared" si="1"/>
        <v>X</v>
      </c>
      <c r="AM26" t="str">
        <f t="shared" si="1"/>
        <v>X</v>
      </c>
      <c r="AN26" t="str">
        <f t="shared" si="1"/>
        <v>X</v>
      </c>
      <c r="AO26" t="str">
        <f t="shared" si="1"/>
        <v>X</v>
      </c>
      <c r="AP26" t="str">
        <f t="shared" si="1"/>
        <v>X</v>
      </c>
      <c r="AQ26" t="str">
        <f t="shared" si="1"/>
        <v>X</v>
      </c>
      <c r="AR26" t="str">
        <f t="shared" si="1"/>
        <v>X</v>
      </c>
      <c r="AS26" t="str">
        <f t="shared" si="1"/>
        <v>X</v>
      </c>
      <c r="AT26" t="str">
        <f t="shared" si="1"/>
        <v>X</v>
      </c>
      <c r="AU26" t="str">
        <f t="shared" si="1"/>
        <v/>
      </c>
      <c r="AV26" t="str">
        <f t="shared" si="4"/>
        <v/>
      </c>
      <c r="AW26" t="str">
        <f t="shared" si="4"/>
        <v/>
      </c>
      <c r="AX26" t="str">
        <f t="shared" si="4"/>
        <v/>
      </c>
      <c r="AY26" t="str">
        <f t="shared" si="4"/>
        <v/>
      </c>
      <c r="AZ26" t="str">
        <f t="shared" si="4"/>
        <v/>
      </c>
      <c r="BA26" t="str">
        <f t="shared" si="4"/>
        <v/>
      </c>
      <c r="BB26" t="str">
        <f t="shared" si="4"/>
        <v/>
      </c>
    </row>
    <row r="27" spans="1:54" x14ac:dyDescent="0.55000000000000004">
      <c r="A27" s="83"/>
      <c r="B27" s="83"/>
      <c r="C27" s="54">
        <v>6.75</v>
      </c>
      <c r="D27" s="36">
        <f t="shared" si="3"/>
        <v>60</v>
      </c>
      <c r="E27" s="36">
        <f t="shared" si="3"/>
        <v>40</v>
      </c>
      <c r="F27" s="36">
        <f t="shared" si="3"/>
        <v>40</v>
      </c>
      <c r="G27" s="36">
        <f t="shared" si="3"/>
        <v>30</v>
      </c>
      <c r="H27" s="36">
        <f t="shared" si="3"/>
        <v>30</v>
      </c>
      <c r="I27" s="36">
        <f t="shared" si="3"/>
        <v>20</v>
      </c>
      <c r="J27" s="36">
        <f t="shared" si="3"/>
        <v>10</v>
      </c>
      <c r="K27" s="36">
        <f t="shared" si="3"/>
        <v>10</v>
      </c>
      <c r="L27" s="36">
        <f t="shared" si="3"/>
        <v>10</v>
      </c>
      <c r="M27" s="36">
        <f t="shared" si="3"/>
        <v>10</v>
      </c>
      <c r="N27" s="36">
        <f t="shared" si="3"/>
        <v>10</v>
      </c>
      <c r="O27" s="36">
        <f t="shared" si="3"/>
        <v>10</v>
      </c>
      <c r="P27" s="36" t="str">
        <f t="shared" si="3"/>
        <v>-</v>
      </c>
      <c r="Q27" s="36" t="str">
        <f t="shared" si="3"/>
        <v>-</v>
      </c>
      <c r="R27" s="36" t="str">
        <f t="shared" si="3"/>
        <v>-</v>
      </c>
      <c r="S27" s="36" t="str">
        <f t="shared" si="3"/>
        <v>-</v>
      </c>
      <c r="T27" s="36" t="str">
        <f t="shared" si="5"/>
        <v>-</v>
      </c>
      <c r="U27" s="36" t="str">
        <f t="shared" si="5"/>
        <v>-</v>
      </c>
      <c r="V27" s="36" t="str">
        <f t="shared" si="5"/>
        <v>-</v>
      </c>
      <c r="W27" s="36" t="str">
        <f t="shared" si="5"/>
        <v>-</v>
      </c>
      <c r="X27" s="36" t="str">
        <f t="shared" si="5"/>
        <v>-</v>
      </c>
      <c r="Y27" s="36" t="str">
        <f t="shared" si="5"/>
        <v>-</v>
      </c>
      <c r="Z27" s="36" t="str">
        <f t="shared" si="5"/>
        <v>-</v>
      </c>
      <c r="AE27" s="54">
        <v>8.25</v>
      </c>
      <c r="AF27" t="str">
        <f t="shared" si="1"/>
        <v>X</v>
      </c>
      <c r="AG27" t="str">
        <f t="shared" si="1"/>
        <v>X</v>
      </c>
      <c r="AH27" t="str">
        <f t="shared" si="1"/>
        <v>X</v>
      </c>
      <c r="AI27" t="str">
        <f t="shared" si="1"/>
        <v>X</v>
      </c>
      <c r="AJ27" t="str">
        <f t="shared" si="1"/>
        <v>X</v>
      </c>
      <c r="AK27" t="str">
        <f t="shared" si="1"/>
        <v>X</v>
      </c>
      <c r="AL27" t="str">
        <f t="shared" si="1"/>
        <v>X</v>
      </c>
      <c r="AM27" t="str">
        <f t="shared" si="1"/>
        <v>X</v>
      </c>
      <c r="AN27" t="str">
        <f t="shared" si="1"/>
        <v>X</v>
      </c>
      <c r="AO27" t="str">
        <f t="shared" si="1"/>
        <v>X</v>
      </c>
      <c r="AP27" t="str">
        <f t="shared" si="1"/>
        <v>X</v>
      </c>
      <c r="AQ27" t="str">
        <f t="shared" si="1"/>
        <v>X</v>
      </c>
      <c r="AR27" t="str">
        <f t="shared" si="1"/>
        <v>X</v>
      </c>
      <c r="AS27" t="str">
        <f t="shared" si="1"/>
        <v>X</v>
      </c>
      <c r="AT27" t="str">
        <f t="shared" si="1"/>
        <v>X</v>
      </c>
      <c r="AU27" t="str">
        <f t="shared" si="1"/>
        <v/>
      </c>
      <c r="AV27" t="str">
        <f t="shared" si="4"/>
        <v/>
      </c>
      <c r="AW27" t="str">
        <f t="shared" si="4"/>
        <v/>
      </c>
      <c r="AX27" t="str">
        <f t="shared" si="4"/>
        <v/>
      </c>
      <c r="AY27" t="str">
        <f t="shared" si="4"/>
        <v/>
      </c>
      <c r="AZ27" t="str">
        <f t="shared" si="4"/>
        <v/>
      </c>
      <c r="BA27" t="str">
        <f t="shared" si="4"/>
        <v/>
      </c>
      <c r="BB27" t="str">
        <f t="shared" si="4"/>
        <v/>
      </c>
    </row>
    <row r="28" spans="1:54" x14ac:dyDescent="0.55000000000000004">
      <c r="A28" s="83"/>
      <c r="B28" s="83"/>
      <c r="C28" s="54">
        <v>7</v>
      </c>
      <c r="D28" s="36">
        <f t="shared" si="3"/>
        <v>60</v>
      </c>
      <c r="E28" s="36">
        <f t="shared" si="3"/>
        <v>40</v>
      </c>
      <c r="F28" s="36">
        <f t="shared" si="3"/>
        <v>40</v>
      </c>
      <c r="G28" s="36">
        <f t="shared" si="3"/>
        <v>30</v>
      </c>
      <c r="H28" s="36">
        <f t="shared" si="3"/>
        <v>30</v>
      </c>
      <c r="I28" s="36">
        <f t="shared" si="3"/>
        <v>20</v>
      </c>
      <c r="J28" s="36">
        <f t="shared" si="3"/>
        <v>10</v>
      </c>
      <c r="K28" s="36">
        <f t="shared" si="3"/>
        <v>10</v>
      </c>
      <c r="L28" s="36">
        <f t="shared" si="3"/>
        <v>10</v>
      </c>
      <c r="M28" s="36">
        <f t="shared" si="3"/>
        <v>10</v>
      </c>
      <c r="N28" s="36">
        <f t="shared" si="3"/>
        <v>10</v>
      </c>
      <c r="O28" s="36">
        <f t="shared" si="3"/>
        <v>10</v>
      </c>
      <c r="P28" s="36">
        <f t="shared" si="3"/>
        <v>10</v>
      </c>
      <c r="Q28" s="36" t="str">
        <f t="shared" si="3"/>
        <v>-</v>
      </c>
      <c r="R28" s="36" t="str">
        <f t="shared" si="3"/>
        <v>-</v>
      </c>
      <c r="S28" s="36" t="str">
        <f t="shared" si="3"/>
        <v>-</v>
      </c>
      <c r="T28" s="36" t="str">
        <f t="shared" si="5"/>
        <v>-</v>
      </c>
      <c r="U28" s="36" t="str">
        <f t="shared" si="5"/>
        <v>-</v>
      </c>
      <c r="V28" s="36" t="str">
        <f t="shared" si="5"/>
        <v>-</v>
      </c>
      <c r="W28" s="36" t="str">
        <f t="shared" si="5"/>
        <v>-</v>
      </c>
      <c r="X28" s="36" t="str">
        <f t="shared" si="5"/>
        <v>-</v>
      </c>
      <c r="Y28" s="36" t="str">
        <f t="shared" si="5"/>
        <v>-</v>
      </c>
      <c r="Z28" s="36" t="str">
        <f t="shared" si="5"/>
        <v>-</v>
      </c>
      <c r="AE28" s="54">
        <v>8.5</v>
      </c>
      <c r="AF28" t="str">
        <f t="shared" si="1"/>
        <v>X</v>
      </c>
      <c r="AG28" t="str">
        <f t="shared" si="1"/>
        <v>X</v>
      </c>
      <c r="AH28" t="str">
        <f t="shared" si="1"/>
        <v>X</v>
      </c>
      <c r="AI28" t="str">
        <f t="shared" si="1"/>
        <v>X</v>
      </c>
      <c r="AJ28" t="str">
        <f t="shared" si="1"/>
        <v>X</v>
      </c>
      <c r="AK28" t="str">
        <f t="shared" si="1"/>
        <v>X</v>
      </c>
      <c r="AL28" t="str">
        <f t="shared" si="1"/>
        <v>X</v>
      </c>
      <c r="AM28" t="str">
        <f t="shared" si="1"/>
        <v>X</v>
      </c>
      <c r="AN28" t="str">
        <f t="shared" si="1"/>
        <v>X</v>
      </c>
      <c r="AO28" t="str">
        <f t="shared" si="1"/>
        <v>X</v>
      </c>
      <c r="AP28" t="str">
        <f t="shared" si="1"/>
        <v>X</v>
      </c>
      <c r="AQ28" t="str">
        <f t="shared" si="1"/>
        <v>X</v>
      </c>
      <c r="AR28" t="str">
        <f t="shared" si="1"/>
        <v>X</v>
      </c>
      <c r="AS28" t="str">
        <f t="shared" si="1"/>
        <v>X</v>
      </c>
      <c r="AT28" t="str">
        <f t="shared" si="1"/>
        <v>X</v>
      </c>
      <c r="AU28" t="str">
        <f t="shared" si="1"/>
        <v/>
      </c>
      <c r="AV28" t="str">
        <f t="shared" si="4"/>
        <v/>
      </c>
      <c r="AW28" t="str">
        <f t="shared" si="4"/>
        <v/>
      </c>
      <c r="AX28" t="str">
        <f t="shared" si="4"/>
        <v/>
      </c>
      <c r="AY28" t="str">
        <f t="shared" si="4"/>
        <v/>
      </c>
      <c r="AZ28" t="str">
        <f t="shared" si="4"/>
        <v/>
      </c>
      <c r="BA28" t="str">
        <f t="shared" si="4"/>
        <v/>
      </c>
      <c r="BB28" t="str">
        <f t="shared" si="4"/>
        <v/>
      </c>
    </row>
    <row r="29" spans="1:54" x14ac:dyDescent="0.55000000000000004">
      <c r="A29" s="83"/>
      <c r="B29" s="83"/>
      <c r="C29" s="54">
        <v>7.25</v>
      </c>
      <c r="D29" s="36">
        <f t="shared" si="3"/>
        <v>60</v>
      </c>
      <c r="E29" s="36">
        <f t="shared" si="3"/>
        <v>40</v>
      </c>
      <c r="F29" s="36">
        <f t="shared" si="3"/>
        <v>40</v>
      </c>
      <c r="G29" s="36">
        <f t="shared" si="3"/>
        <v>30</v>
      </c>
      <c r="H29" s="36">
        <f t="shared" si="3"/>
        <v>30</v>
      </c>
      <c r="I29" s="36">
        <f t="shared" si="3"/>
        <v>20</v>
      </c>
      <c r="J29" s="36">
        <f t="shared" si="3"/>
        <v>10</v>
      </c>
      <c r="K29" s="36">
        <f t="shared" si="3"/>
        <v>10</v>
      </c>
      <c r="L29" s="36">
        <f t="shared" si="3"/>
        <v>10</v>
      </c>
      <c r="M29" s="36">
        <f t="shared" si="3"/>
        <v>10</v>
      </c>
      <c r="N29" s="36">
        <f t="shared" si="3"/>
        <v>10</v>
      </c>
      <c r="O29" s="36">
        <f t="shared" si="3"/>
        <v>10</v>
      </c>
      <c r="P29" s="36">
        <f t="shared" si="3"/>
        <v>10</v>
      </c>
      <c r="Q29" s="36" t="str">
        <f t="shared" si="3"/>
        <v>-</v>
      </c>
      <c r="R29" s="36" t="str">
        <f t="shared" si="3"/>
        <v>-</v>
      </c>
      <c r="S29" s="36" t="str">
        <f t="shared" si="3"/>
        <v>-</v>
      </c>
      <c r="T29" s="36" t="str">
        <f t="shared" si="5"/>
        <v>-</v>
      </c>
      <c r="U29" s="36" t="str">
        <f t="shared" si="5"/>
        <v>-</v>
      </c>
      <c r="V29" s="36" t="str">
        <f t="shared" si="5"/>
        <v>-</v>
      </c>
      <c r="W29" s="36" t="str">
        <f t="shared" si="5"/>
        <v>-</v>
      </c>
      <c r="X29" s="36" t="str">
        <f t="shared" si="5"/>
        <v>-</v>
      </c>
      <c r="Y29" s="36" t="str">
        <f t="shared" si="5"/>
        <v>-</v>
      </c>
      <c r="Z29" s="36" t="str">
        <f t="shared" si="5"/>
        <v>-</v>
      </c>
      <c r="AE29" s="54">
        <v>8.75</v>
      </c>
      <c r="AF29" t="str">
        <f t="shared" si="1"/>
        <v>X</v>
      </c>
      <c r="AG29" t="str">
        <f t="shared" si="1"/>
        <v>X</v>
      </c>
      <c r="AH29" t="str">
        <f t="shared" si="1"/>
        <v>X</v>
      </c>
      <c r="AI29" t="str">
        <f t="shared" si="1"/>
        <v>X</v>
      </c>
      <c r="AJ29" t="str">
        <f t="shared" ref="AJ29:AY29" si="6">IF($AE29&gt;=(4*AJ$1),"X","")</f>
        <v>X</v>
      </c>
      <c r="AK29" t="str">
        <f t="shared" si="6"/>
        <v>X</v>
      </c>
      <c r="AL29" t="str">
        <f t="shared" si="6"/>
        <v>X</v>
      </c>
      <c r="AM29" t="str">
        <f t="shared" si="6"/>
        <v>X</v>
      </c>
      <c r="AN29" t="str">
        <f t="shared" si="6"/>
        <v>X</v>
      </c>
      <c r="AO29" t="str">
        <f t="shared" si="6"/>
        <v>X</v>
      </c>
      <c r="AP29" t="str">
        <f t="shared" si="6"/>
        <v>X</v>
      </c>
      <c r="AQ29" t="str">
        <f t="shared" si="6"/>
        <v>X</v>
      </c>
      <c r="AR29" t="str">
        <f t="shared" si="6"/>
        <v>X</v>
      </c>
      <c r="AS29" t="str">
        <f t="shared" si="6"/>
        <v>X</v>
      </c>
      <c r="AT29" t="str">
        <f t="shared" si="6"/>
        <v>X</v>
      </c>
      <c r="AU29" t="str">
        <f t="shared" si="6"/>
        <v/>
      </c>
      <c r="AV29" t="str">
        <f t="shared" si="6"/>
        <v/>
      </c>
      <c r="AW29" t="str">
        <f t="shared" si="6"/>
        <v/>
      </c>
      <c r="AX29" t="str">
        <f t="shared" si="6"/>
        <v/>
      </c>
      <c r="AY29" t="str">
        <f t="shared" si="6"/>
        <v/>
      </c>
      <c r="AZ29" t="str">
        <f t="shared" si="4"/>
        <v/>
      </c>
      <c r="BA29" t="str">
        <f t="shared" si="4"/>
        <v/>
      </c>
      <c r="BB29" t="str">
        <f t="shared" si="4"/>
        <v/>
      </c>
    </row>
    <row r="30" spans="1:54" x14ac:dyDescent="0.55000000000000004">
      <c r="A30" s="83"/>
      <c r="B30" s="83"/>
      <c r="C30" s="54">
        <v>7.5</v>
      </c>
      <c r="D30" s="36">
        <f t="shared" si="3"/>
        <v>60</v>
      </c>
      <c r="E30" s="36">
        <f t="shared" si="3"/>
        <v>40</v>
      </c>
      <c r="F30" s="36">
        <f t="shared" si="3"/>
        <v>40</v>
      </c>
      <c r="G30" s="36">
        <f t="shared" si="3"/>
        <v>30</v>
      </c>
      <c r="H30" s="36">
        <f t="shared" si="3"/>
        <v>30</v>
      </c>
      <c r="I30" s="36">
        <f t="shared" si="3"/>
        <v>20</v>
      </c>
      <c r="J30" s="36">
        <f t="shared" si="3"/>
        <v>10</v>
      </c>
      <c r="K30" s="36">
        <f t="shared" si="3"/>
        <v>10</v>
      </c>
      <c r="L30" s="36">
        <f t="shared" si="3"/>
        <v>10</v>
      </c>
      <c r="M30" s="36">
        <f t="shared" si="3"/>
        <v>10</v>
      </c>
      <c r="N30" s="36">
        <f t="shared" si="3"/>
        <v>10</v>
      </c>
      <c r="O30" s="36">
        <f t="shared" si="3"/>
        <v>10</v>
      </c>
      <c r="P30" s="36">
        <f t="shared" si="3"/>
        <v>10</v>
      </c>
      <c r="Q30" s="36">
        <f t="shared" si="3"/>
        <v>10</v>
      </c>
      <c r="R30" s="36" t="str">
        <f t="shared" si="3"/>
        <v>-</v>
      </c>
      <c r="S30" s="36" t="str">
        <f t="shared" si="3"/>
        <v>-</v>
      </c>
      <c r="T30" s="36" t="str">
        <f t="shared" si="5"/>
        <v>-</v>
      </c>
      <c r="U30" s="36" t="str">
        <f t="shared" si="5"/>
        <v>-</v>
      </c>
      <c r="V30" s="36" t="str">
        <f t="shared" si="5"/>
        <v>-</v>
      </c>
      <c r="W30" s="36" t="str">
        <f t="shared" si="5"/>
        <v>-</v>
      </c>
      <c r="X30" s="36" t="str">
        <f t="shared" si="5"/>
        <v>-</v>
      </c>
      <c r="Y30" s="36" t="str">
        <f t="shared" si="5"/>
        <v>-</v>
      </c>
      <c r="Z30" s="36" t="str">
        <f t="shared" si="5"/>
        <v>-</v>
      </c>
      <c r="AE30" s="54">
        <v>9</v>
      </c>
      <c r="AF30" t="str">
        <f t="shared" ref="AF30:AU45" si="7">IF($AE30&gt;=(4*AF$1),"X","")</f>
        <v>X</v>
      </c>
      <c r="AG30" t="str">
        <f t="shared" si="7"/>
        <v>X</v>
      </c>
      <c r="AH30" t="str">
        <f t="shared" si="7"/>
        <v>X</v>
      </c>
      <c r="AI30" t="str">
        <f t="shared" si="7"/>
        <v>X</v>
      </c>
      <c r="AJ30" t="str">
        <f t="shared" si="7"/>
        <v>X</v>
      </c>
      <c r="AK30" t="str">
        <f t="shared" si="7"/>
        <v>X</v>
      </c>
      <c r="AL30" t="str">
        <f t="shared" si="7"/>
        <v>X</v>
      </c>
      <c r="AM30" t="str">
        <f t="shared" si="7"/>
        <v>X</v>
      </c>
      <c r="AN30" t="str">
        <f t="shared" si="7"/>
        <v>X</v>
      </c>
      <c r="AO30" t="str">
        <f t="shared" si="7"/>
        <v>X</v>
      </c>
      <c r="AP30" t="str">
        <f t="shared" si="7"/>
        <v>X</v>
      </c>
      <c r="AQ30" t="str">
        <f t="shared" si="7"/>
        <v>X</v>
      </c>
      <c r="AR30" t="str">
        <f t="shared" si="7"/>
        <v>X</v>
      </c>
      <c r="AS30" t="str">
        <f t="shared" si="7"/>
        <v>X</v>
      </c>
      <c r="AT30" t="str">
        <f t="shared" si="7"/>
        <v>X</v>
      </c>
      <c r="AU30" t="str">
        <f t="shared" si="7"/>
        <v>X</v>
      </c>
      <c r="AV30" t="str">
        <f t="shared" ref="AV30:AY44" si="8">IF($AE30&gt;=(4*AV$1),"X","")</f>
        <v/>
      </c>
      <c r="AW30" t="str">
        <f t="shared" si="8"/>
        <v/>
      </c>
      <c r="AX30" t="str">
        <f t="shared" si="8"/>
        <v/>
      </c>
      <c r="AY30" t="str">
        <f t="shared" si="8"/>
        <v/>
      </c>
      <c r="AZ30" t="str">
        <f t="shared" si="4"/>
        <v/>
      </c>
      <c r="BA30" t="str">
        <f t="shared" si="4"/>
        <v/>
      </c>
      <c r="BB30" t="str">
        <f t="shared" si="4"/>
        <v/>
      </c>
    </row>
    <row r="31" spans="1:54" x14ac:dyDescent="0.55000000000000004">
      <c r="A31" s="83"/>
      <c r="B31" s="83"/>
      <c r="C31" s="54">
        <v>7.75</v>
      </c>
      <c r="D31" s="36">
        <f t="shared" si="3"/>
        <v>60</v>
      </c>
      <c r="E31" s="36">
        <f t="shared" si="3"/>
        <v>40</v>
      </c>
      <c r="F31" s="36">
        <f t="shared" si="3"/>
        <v>40</v>
      </c>
      <c r="G31" s="36">
        <f t="shared" si="3"/>
        <v>30</v>
      </c>
      <c r="H31" s="36">
        <f t="shared" si="3"/>
        <v>30</v>
      </c>
      <c r="I31" s="36">
        <f t="shared" si="3"/>
        <v>20</v>
      </c>
      <c r="J31" s="36">
        <f t="shared" si="3"/>
        <v>10</v>
      </c>
      <c r="K31" s="36">
        <f t="shared" si="3"/>
        <v>10</v>
      </c>
      <c r="L31" s="36">
        <f t="shared" si="3"/>
        <v>10</v>
      </c>
      <c r="M31" s="36">
        <f t="shared" si="3"/>
        <v>10</v>
      </c>
      <c r="N31" s="36">
        <f t="shared" si="3"/>
        <v>10</v>
      </c>
      <c r="O31" s="36">
        <f t="shared" si="3"/>
        <v>10</v>
      </c>
      <c r="P31" s="36">
        <f t="shared" si="3"/>
        <v>10</v>
      </c>
      <c r="Q31" s="36">
        <f t="shared" si="3"/>
        <v>10</v>
      </c>
      <c r="R31" s="36" t="str">
        <f t="shared" si="3"/>
        <v>-</v>
      </c>
      <c r="S31" s="36" t="str">
        <f t="shared" si="3"/>
        <v>-</v>
      </c>
      <c r="T31" s="36" t="str">
        <f t="shared" si="5"/>
        <v>-</v>
      </c>
      <c r="U31" s="36" t="str">
        <f t="shared" si="5"/>
        <v>-</v>
      </c>
      <c r="V31" s="36" t="str">
        <f t="shared" si="5"/>
        <v>-</v>
      </c>
      <c r="W31" s="36" t="str">
        <f t="shared" si="5"/>
        <v>-</v>
      </c>
      <c r="X31" s="36" t="str">
        <f t="shared" si="5"/>
        <v>-</v>
      </c>
      <c r="Y31" s="36" t="str">
        <f t="shared" si="5"/>
        <v>-</v>
      </c>
      <c r="Z31" s="36" t="str">
        <f t="shared" si="5"/>
        <v>-</v>
      </c>
      <c r="AE31" s="54">
        <v>9.25</v>
      </c>
      <c r="AF31" t="str">
        <f t="shared" si="7"/>
        <v>X</v>
      </c>
      <c r="AG31" t="str">
        <f t="shared" si="7"/>
        <v>X</v>
      </c>
      <c r="AH31" t="str">
        <f t="shared" si="7"/>
        <v>X</v>
      </c>
      <c r="AI31" t="str">
        <f t="shared" si="7"/>
        <v>X</v>
      </c>
      <c r="AJ31" t="str">
        <f t="shared" si="7"/>
        <v>X</v>
      </c>
      <c r="AK31" t="str">
        <f t="shared" si="7"/>
        <v>X</v>
      </c>
      <c r="AL31" t="str">
        <f t="shared" si="7"/>
        <v>X</v>
      </c>
      <c r="AM31" t="str">
        <f t="shared" si="7"/>
        <v>X</v>
      </c>
      <c r="AN31" t="str">
        <f t="shared" si="7"/>
        <v>X</v>
      </c>
      <c r="AO31" t="str">
        <f t="shared" si="7"/>
        <v>X</v>
      </c>
      <c r="AP31" t="str">
        <f t="shared" si="7"/>
        <v>X</v>
      </c>
      <c r="AQ31" t="str">
        <f t="shared" si="7"/>
        <v>X</v>
      </c>
      <c r="AR31" t="str">
        <f t="shared" si="7"/>
        <v>X</v>
      </c>
      <c r="AS31" t="str">
        <f t="shared" si="7"/>
        <v>X</v>
      </c>
      <c r="AT31" t="str">
        <f t="shared" si="7"/>
        <v>X</v>
      </c>
      <c r="AU31" t="str">
        <f t="shared" si="7"/>
        <v>X</v>
      </c>
      <c r="AV31" t="str">
        <f t="shared" si="8"/>
        <v/>
      </c>
      <c r="AW31" t="str">
        <f t="shared" si="8"/>
        <v/>
      </c>
      <c r="AX31" t="str">
        <f t="shared" si="8"/>
        <v/>
      </c>
      <c r="AY31" t="str">
        <f t="shared" si="8"/>
        <v/>
      </c>
      <c r="AZ31" t="str">
        <f t="shared" si="4"/>
        <v/>
      </c>
      <c r="BA31" t="str">
        <f t="shared" si="4"/>
        <v/>
      </c>
      <c r="BB31" t="str">
        <f t="shared" si="4"/>
        <v/>
      </c>
    </row>
    <row r="32" spans="1:54" x14ac:dyDescent="0.55000000000000004">
      <c r="A32" s="83"/>
      <c r="B32" s="83"/>
      <c r="C32" s="54">
        <v>8</v>
      </c>
      <c r="D32" s="36">
        <f t="shared" si="3"/>
        <v>60</v>
      </c>
      <c r="E32" s="36">
        <f t="shared" si="3"/>
        <v>40</v>
      </c>
      <c r="F32" s="36">
        <f t="shared" si="3"/>
        <v>40</v>
      </c>
      <c r="G32" s="36">
        <f t="shared" si="3"/>
        <v>30</v>
      </c>
      <c r="H32" s="36">
        <f t="shared" si="3"/>
        <v>30</v>
      </c>
      <c r="I32" s="36">
        <f t="shared" si="3"/>
        <v>20</v>
      </c>
      <c r="J32" s="36">
        <f t="shared" si="3"/>
        <v>10</v>
      </c>
      <c r="K32" s="36">
        <f t="shared" si="3"/>
        <v>10</v>
      </c>
      <c r="L32" s="36">
        <f t="shared" si="3"/>
        <v>10</v>
      </c>
      <c r="M32" s="36">
        <f t="shared" si="3"/>
        <v>10</v>
      </c>
      <c r="N32" s="36">
        <f t="shared" si="3"/>
        <v>10</v>
      </c>
      <c r="O32" s="36">
        <f t="shared" si="3"/>
        <v>10</v>
      </c>
      <c r="P32" s="36">
        <f t="shared" si="3"/>
        <v>10</v>
      </c>
      <c r="Q32" s="36">
        <f t="shared" si="3"/>
        <v>10</v>
      </c>
      <c r="R32" s="36">
        <f t="shared" si="3"/>
        <v>10</v>
      </c>
      <c r="S32" s="36" t="str">
        <f t="shared" si="3"/>
        <v>-</v>
      </c>
      <c r="T32" s="36" t="str">
        <f t="shared" si="5"/>
        <v>-</v>
      </c>
      <c r="U32" s="36" t="str">
        <f t="shared" si="5"/>
        <v>-</v>
      </c>
      <c r="V32" s="36" t="str">
        <f t="shared" si="5"/>
        <v>-</v>
      </c>
      <c r="W32" s="36" t="str">
        <f t="shared" si="5"/>
        <v>-</v>
      </c>
      <c r="X32" s="36" t="str">
        <f t="shared" si="5"/>
        <v>-</v>
      </c>
      <c r="Y32" s="36" t="str">
        <f t="shared" si="5"/>
        <v>-</v>
      </c>
      <c r="Z32" s="36" t="str">
        <f t="shared" si="5"/>
        <v>-</v>
      </c>
      <c r="AE32" s="54">
        <v>9.5</v>
      </c>
      <c r="AF32" t="str">
        <f t="shared" si="7"/>
        <v>X</v>
      </c>
      <c r="AG32" t="str">
        <f t="shared" si="7"/>
        <v>X</v>
      </c>
      <c r="AH32" t="str">
        <f t="shared" si="7"/>
        <v>X</v>
      </c>
      <c r="AI32" t="str">
        <f t="shared" si="7"/>
        <v>X</v>
      </c>
      <c r="AJ32" t="str">
        <f t="shared" si="7"/>
        <v>X</v>
      </c>
      <c r="AK32" t="str">
        <f t="shared" si="7"/>
        <v>X</v>
      </c>
      <c r="AL32" t="str">
        <f t="shared" si="7"/>
        <v>X</v>
      </c>
      <c r="AM32" t="str">
        <f t="shared" si="7"/>
        <v>X</v>
      </c>
      <c r="AN32" t="str">
        <f t="shared" si="7"/>
        <v>X</v>
      </c>
      <c r="AO32" t="str">
        <f t="shared" si="7"/>
        <v>X</v>
      </c>
      <c r="AP32" t="str">
        <f t="shared" si="7"/>
        <v>X</v>
      </c>
      <c r="AQ32" t="str">
        <f t="shared" si="7"/>
        <v>X</v>
      </c>
      <c r="AR32" t="str">
        <f t="shared" si="7"/>
        <v>X</v>
      </c>
      <c r="AS32" t="str">
        <f t="shared" si="7"/>
        <v>X</v>
      </c>
      <c r="AT32" t="str">
        <f t="shared" si="7"/>
        <v>X</v>
      </c>
      <c r="AU32" t="str">
        <f t="shared" si="7"/>
        <v>X</v>
      </c>
      <c r="AV32" t="str">
        <f t="shared" si="8"/>
        <v/>
      </c>
      <c r="AW32" t="str">
        <f t="shared" si="8"/>
        <v/>
      </c>
      <c r="AX32" t="str">
        <f t="shared" si="8"/>
        <v/>
      </c>
      <c r="AY32" t="str">
        <f t="shared" si="8"/>
        <v/>
      </c>
      <c r="AZ32" t="str">
        <f t="shared" si="4"/>
        <v/>
      </c>
      <c r="BA32" t="str">
        <f t="shared" si="4"/>
        <v/>
      </c>
      <c r="BB32" t="str">
        <f t="shared" si="4"/>
        <v/>
      </c>
    </row>
    <row r="33" spans="1:54" x14ac:dyDescent="0.55000000000000004">
      <c r="A33" s="83"/>
      <c r="B33" s="83"/>
      <c r="C33" s="54">
        <v>8.25</v>
      </c>
      <c r="D33" s="36">
        <f t="shared" si="3"/>
        <v>60</v>
      </c>
      <c r="E33" s="36">
        <f t="shared" si="3"/>
        <v>40</v>
      </c>
      <c r="F33" s="36">
        <f t="shared" si="3"/>
        <v>40</v>
      </c>
      <c r="G33" s="36">
        <f t="shared" si="3"/>
        <v>30</v>
      </c>
      <c r="H33" s="36">
        <f t="shared" si="3"/>
        <v>30</v>
      </c>
      <c r="I33" s="36">
        <f t="shared" si="3"/>
        <v>20</v>
      </c>
      <c r="J33" s="36">
        <f t="shared" si="3"/>
        <v>10</v>
      </c>
      <c r="K33" s="36">
        <f t="shared" si="3"/>
        <v>10</v>
      </c>
      <c r="L33" s="36">
        <f t="shared" si="3"/>
        <v>10</v>
      </c>
      <c r="M33" s="36">
        <f t="shared" si="3"/>
        <v>10</v>
      </c>
      <c r="N33" s="36">
        <f t="shared" si="3"/>
        <v>10</v>
      </c>
      <c r="O33" s="36">
        <f t="shared" si="3"/>
        <v>10</v>
      </c>
      <c r="P33" s="36">
        <f t="shared" si="3"/>
        <v>10</v>
      </c>
      <c r="Q33" s="36">
        <f t="shared" si="3"/>
        <v>10</v>
      </c>
      <c r="R33" s="36">
        <f t="shared" si="3"/>
        <v>10</v>
      </c>
      <c r="S33" s="36" t="str">
        <f t="shared" si="3"/>
        <v>-</v>
      </c>
      <c r="T33" s="36" t="str">
        <f t="shared" si="5"/>
        <v>-</v>
      </c>
      <c r="U33" s="36" t="str">
        <f t="shared" si="5"/>
        <v>-</v>
      </c>
      <c r="V33" s="36" t="str">
        <f t="shared" si="5"/>
        <v>-</v>
      </c>
      <c r="W33" s="36" t="str">
        <f t="shared" si="5"/>
        <v>-</v>
      </c>
      <c r="X33" s="36" t="str">
        <f t="shared" si="5"/>
        <v>-</v>
      </c>
      <c r="Y33" s="36" t="str">
        <f t="shared" si="5"/>
        <v>-</v>
      </c>
      <c r="Z33" s="36" t="str">
        <f t="shared" si="5"/>
        <v>-</v>
      </c>
      <c r="AE33" s="54">
        <v>9.75</v>
      </c>
      <c r="AF33" t="str">
        <f t="shared" si="7"/>
        <v>X</v>
      </c>
      <c r="AG33" t="str">
        <f t="shared" si="7"/>
        <v>X</v>
      </c>
      <c r="AH33" t="str">
        <f t="shared" si="7"/>
        <v>X</v>
      </c>
      <c r="AI33" t="str">
        <f t="shared" si="7"/>
        <v>X</v>
      </c>
      <c r="AJ33" t="str">
        <f t="shared" si="7"/>
        <v>X</v>
      </c>
      <c r="AK33" t="str">
        <f t="shared" si="7"/>
        <v>X</v>
      </c>
      <c r="AL33" t="str">
        <f t="shared" si="7"/>
        <v>X</v>
      </c>
      <c r="AM33" t="str">
        <f t="shared" si="7"/>
        <v>X</v>
      </c>
      <c r="AN33" t="str">
        <f t="shared" si="7"/>
        <v>X</v>
      </c>
      <c r="AO33" t="str">
        <f t="shared" si="7"/>
        <v>X</v>
      </c>
      <c r="AP33" t="str">
        <f t="shared" si="7"/>
        <v>X</v>
      </c>
      <c r="AQ33" t="str">
        <f t="shared" si="7"/>
        <v>X</v>
      </c>
      <c r="AR33" t="str">
        <f t="shared" si="7"/>
        <v>X</v>
      </c>
      <c r="AS33" t="str">
        <f t="shared" si="7"/>
        <v>X</v>
      </c>
      <c r="AT33" t="str">
        <f t="shared" si="7"/>
        <v>X</v>
      </c>
      <c r="AU33" t="str">
        <f t="shared" si="7"/>
        <v>X</v>
      </c>
      <c r="AV33" t="str">
        <f t="shared" si="8"/>
        <v/>
      </c>
      <c r="AW33" t="str">
        <f t="shared" si="8"/>
        <v/>
      </c>
      <c r="AX33" t="str">
        <f t="shared" si="8"/>
        <v/>
      </c>
      <c r="AY33" t="str">
        <f t="shared" si="8"/>
        <v/>
      </c>
      <c r="AZ33" t="str">
        <f t="shared" si="4"/>
        <v/>
      </c>
      <c r="BA33" t="str">
        <f t="shared" si="4"/>
        <v/>
      </c>
      <c r="BB33" t="str">
        <f t="shared" si="4"/>
        <v/>
      </c>
    </row>
    <row r="34" spans="1:54" x14ac:dyDescent="0.55000000000000004">
      <c r="A34" s="83"/>
      <c r="B34" s="83"/>
      <c r="C34" s="54">
        <v>8.5</v>
      </c>
      <c r="D34" s="36">
        <f t="shared" si="3"/>
        <v>60</v>
      </c>
      <c r="E34" s="36">
        <f t="shared" si="3"/>
        <v>40</v>
      </c>
      <c r="F34" s="36">
        <f t="shared" si="3"/>
        <v>40</v>
      </c>
      <c r="G34" s="36">
        <f t="shared" si="3"/>
        <v>30</v>
      </c>
      <c r="H34" s="36">
        <f t="shared" si="3"/>
        <v>30</v>
      </c>
      <c r="I34" s="36">
        <f t="shared" si="3"/>
        <v>20</v>
      </c>
      <c r="J34" s="36">
        <f t="shared" si="3"/>
        <v>10</v>
      </c>
      <c r="K34" s="36">
        <f t="shared" si="3"/>
        <v>10</v>
      </c>
      <c r="L34" s="36">
        <f t="shared" si="3"/>
        <v>10</v>
      </c>
      <c r="M34" s="36">
        <f t="shared" si="3"/>
        <v>10</v>
      </c>
      <c r="N34" s="36">
        <f t="shared" si="3"/>
        <v>10</v>
      </c>
      <c r="O34" s="36">
        <f t="shared" si="3"/>
        <v>10</v>
      </c>
      <c r="P34" s="36">
        <f t="shared" si="3"/>
        <v>10</v>
      </c>
      <c r="Q34" s="36">
        <f t="shared" si="3"/>
        <v>10</v>
      </c>
      <c r="R34" s="36">
        <f t="shared" si="3"/>
        <v>10</v>
      </c>
      <c r="S34" s="36" t="str">
        <f t="shared" si="3"/>
        <v>-</v>
      </c>
      <c r="T34" s="36" t="str">
        <f t="shared" si="5"/>
        <v>-</v>
      </c>
      <c r="U34" s="36" t="str">
        <f t="shared" si="5"/>
        <v>-</v>
      </c>
      <c r="V34" s="36" t="str">
        <f t="shared" si="5"/>
        <v>-</v>
      </c>
      <c r="W34" s="36" t="str">
        <f t="shared" si="5"/>
        <v>-</v>
      </c>
      <c r="X34" s="36" t="str">
        <f t="shared" si="5"/>
        <v>-</v>
      </c>
      <c r="Y34" s="36" t="str">
        <f t="shared" si="5"/>
        <v>-</v>
      </c>
      <c r="Z34" s="36" t="str">
        <f t="shared" si="5"/>
        <v>-</v>
      </c>
      <c r="AE34" s="54">
        <v>10</v>
      </c>
      <c r="AF34" t="str">
        <f t="shared" si="7"/>
        <v>X</v>
      </c>
      <c r="AG34" t="str">
        <f t="shared" si="7"/>
        <v>X</v>
      </c>
      <c r="AH34" t="str">
        <f t="shared" si="7"/>
        <v>X</v>
      </c>
      <c r="AI34" t="str">
        <f t="shared" si="7"/>
        <v>X</v>
      </c>
      <c r="AJ34" t="str">
        <f t="shared" si="7"/>
        <v>X</v>
      </c>
      <c r="AK34" t="str">
        <f t="shared" si="7"/>
        <v>X</v>
      </c>
      <c r="AL34" t="str">
        <f t="shared" si="7"/>
        <v>X</v>
      </c>
      <c r="AM34" t="str">
        <f t="shared" si="7"/>
        <v>X</v>
      </c>
      <c r="AN34" t="str">
        <f t="shared" si="7"/>
        <v>X</v>
      </c>
      <c r="AO34" t="str">
        <f t="shared" si="7"/>
        <v>X</v>
      </c>
      <c r="AP34" t="str">
        <f t="shared" si="7"/>
        <v>X</v>
      </c>
      <c r="AQ34" t="str">
        <f t="shared" si="7"/>
        <v>X</v>
      </c>
      <c r="AR34" t="str">
        <f t="shared" si="7"/>
        <v>X</v>
      </c>
      <c r="AS34" t="str">
        <f t="shared" si="7"/>
        <v>X</v>
      </c>
      <c r="AT34" t="str">
        <f t="shared" si="7"/>
        <v>X</v>
      </c>
      <c r="AU34" t="str">
        <f t="shared" si="7"/>
        <v>X</v>
      </c>
      <c r="AV34" t="str">
        <f t="shared" si="8"/>
        <v>X</v>
      </c>
      <c r="AW34" t="str">
        <f t="shared" si="8"/>
        <v/>
      </c>
      <c r="AX34" t="str">
        <f t="shared" si="8"/>
        <v/>
      </c>
      <c r="AY34" t="str">
        <f t="shared" si="8"/>
        <v/>
      </c>
      <c r="AZ34" t="str">
        <f t="shared" si="4"/>
        <v/>
      </c>
      <c r="BA34" t="str">
        <f t="shared" si="4"/>
        <v/>
      </c>
      <c r="BB34" t="str">
        <f t="shared" si="4"/>
        <v/>
      </c>
    </row>
    <row r="35" spans="1:54" x14ac:dyDescent="0.55000000000000004">
      <c r="A35" s="83"/>
      <c r="B35" s="83"/>
      <c r="C35" s="54">
        <v>8.75</v>
      </c>
      <c r="D35" s="36">
        <f t="shared" si="3"/>
        <v>60</v>
      </c>
      <c r="E35" s="36">
        <f t="shared" si="3"/>
        <v>40</v>
      </c>
      <c r="F35" s="36">
        <f t="shared" si="3"/>
        <v>40</v>
      </c>
      <c r="G35" s="36">
        <f t="shared" si="3"/>
        <v>30</v>
      </c>
      <c r="H35" s="36">
        <f t="shared" ref="H35:W35" si="9">IF($C35&gt;=(4*H$82),((ROUNDUP((IF(((H$6*$C35+2*H$7)*(ROUNDDOWN($AC$2/H$2,0)*ROUNDDOWN($AC$3/H$3,0)*ROUNDDOWN($AC$4/($C35*25.4),0)))&lt;=20,((ROUNDDOWN($AC$2/H$2,0))*(ROUNDDOWN($AC$3/H$3,0))*(ROUNDDOWN($AC$4/($C35*25.4),0))),20/(H$6*$C35+2*H$7)))/10,0))*10),"-")</f>
        <v>30</v>
      </c>
      <c r="I35" s="36">
        <f t="shared" si="9"/>
        <v>20</v>
      </c>
      <c r="J35" s="36">
        <f t="shared" si="9"/>
        <v>10</v>
      </c>
      <c r="K35" s="36">
        <f t="shared" si="9"/>
        <v>10</v>
      </c>
      <c r="L35" s="36">
        <f t="shared" si="9"/>
        <v>10</v>
      </c>
      <c r="M35" s="36">
        <f t="shared" si="9"/>
        <v>10</v>
      </c>
      <c r="N35" s="36">
        <f t="shared" si="9"/>
        <v>10</v>
      </c>
      <c r="O35" s="36">
        <f t="shared" si="9"/>
        <v>10</v>
      </c>
      <c r="P35" s="36">
        <f t="shared" si="9"/>
        <v>10</v>
      </c>
      <c r="Q35" s="36">
        <f t="shared" si="9"/>
        <v>10</v>
      </c>
      <c r="R35" s="36">
        <f t="shared" si="9"/>
        <v>10</v>
      </c>
      <c r="S35" s="36" t="str">
        <f t="shared" si="9"/>
        <v>-</v>
      </c>
      <c r="T35" s="36" t="str">
        <f t="shared" si="9"/>
        <v>-</v>
      </c>
      <c r="U35" s="36" t="str">
        <f t="shared" si="9"/>
        <v>-</v>
      </c>
      <c r="V35" s="36" t="str">
        <f t="shared" si="9"/>
        <v>-</v>
      </c>
      <c r="W35" s="36" t="str">
        <f t="shared" si="9"/>
        <v>-</v>
      </c>
      <c r="X35" s="36" t="str">
        <f t="shared" si="5"/>
        <v>-</v>
      </c>
      <c r="Y35" s="36" t="str">
        <f t="shared" si="5"/>
        <v>-</v>
      </c>
      <c r="Z35" s="36" t="str">
        <f t="shared" si="5"/>
        <v>-</v>
      </c>
      <c r="AE35" s="54">
        <v>10.25</v>
      </c>
      <c r="AF35" t="str">
        <f t="shared" si="7"/>
        <v>X</v>
      </c>
      <c r="AG35" t="str">
        <f t="shared" si="7"/>
        <v>X</v>
      </c>
      <c r="AH35" t="str">
        <f t="shared" si="7"/>
        <v>X</v>
      </c>
      <c r="AI35" t="str">
        <f t="shared" si="7"/>
        <v>X</v>
      </c>
      <c r="AJ35" t="str">
        <f t="shared" si="7"/>
        <v>X</v>
      </c>
      <c r="AK35" t="str">
        <f t="shared" si="7"/>
        <v>X</v>
      </c>
      <c r="AL35" t="str">
        <f t="shared" si="7"/>
        <v>X</v>
      </c>
      <c r="AM35" t="str">
        <f t="shared" si="7"/>
        <v>X</v>
      </c>
      <c r="AN35" t="str">
        <f t="shared" si="7"/>
        <v>X</v>
      </c>
      <c r="AO35" t="str">
        <f t="shared" si="7"/>
        <v>X</v>
      </c>
      <c r="AP35" t="str">
        <f t="shared" si="7"/>
        <v>X</v>
      </c>
      <c r="AQ35" t="str">
        <f t="shared" si="7"/>
        <v>X</v>
      </c>
      <c r="AR35" t="str">
        <f t="shared" si="7"/>
        <v>X</v>
      </c>
      <c r="AS35" t="str">
        <f t="shared" si="7"/>
        <v>X</v>
      </c>
      <c r="AT35" t="str">
        <f t="shared" si="7"/>
        <v>X</v>
      </c>
      <c r="AU35" t="str">
        <f t="shared" si="7"/>
        <v>X</v>
      </c>
      <c r="AV35" t="str">
        <f t="shared" si="8"/>
        <v>X</v>
      </c>
      <c r="AW35" t="str">
        <f t="shared" si="8"/>
        <v/>
      </c>
      <c r="AX35" t="str">
        <f t="shared" si="8"/>
        <v/>
      </c>
      <c r="AY35" t="str">
        <f t="shared" si="8"/>
        <v/>
      </c>
      <c r="AZ35" t="str">
        <f t="shared" si="4"/>
        <v/>
      </c>
      <c r="BA35" t="str">
        <f t="shared" si="4"/>
        <v/>
      </c>
      <c r="BB35" t="str">
        <f t="shared" si="4"/>
        <v/>
      </c>
    </row>
    <row r="36" spans="1:54" x14ac:dyDescent="0.55000000000000004">
      <c r="A36" s="83"/>
      <c r="B36" s="83"/>
      <c r="C36" s="54">
        <v>9</v>
      </c>
      <c r="D36" s="36">
        <f t="shared" ref="D36:S47" si="10">IF($C36&gt;=(4*D$82),((ROUNDUP((IF(((D$6*$C36+2*D$7)*(ROUNDDOWN($AC$2/D$2,0)*ROUNDDOWN($AC$3/D$3,0)*ROUNDDOWN($AC$4/($C36*25.4),0)))&lt;=20,((ROUNDDOWN($AC$2/D$2,0))*(ROUNDDOWN($AC$3/D$3,0))*(ROUNDDOWN($AC$4/($C36*25.4),0))),20/(D$6*$C36+2*D$7)))/10,0))*10),"-")</f>
        <v>60</v>
      </c>
      <c r="E36" s="36">
        <f t="shared" si="10"/>
        <v>40</v>
      </c>
      <c r="F36" s="36">
        <f t="shared" si="10"/>
        <v>40</v>
      </c>
      <c r="G36" s="36">
        <f t="shared" si="10"/>
        <v>30</v>
      </c>
      <c r="H36" s="36">
        <f t="shared" si="10"/>
        <v>30</v>
      </c>
      <c r="I36" s="36">
        <f t="shared" si="10"/>
        <v>20</v>
      </c>
      <c r="J36" s="36">
        <f t="shared" si="10"/>
        <v>10</v>
      </c>
      <c r="K36" s="36">
        <f t="shared" si="10"/>
        <v>10</v>
      </c>
      <c r="L36" s="36">
        <f t="shared" si="10"/>
        <v>10</v>
      </c>
      <c r="M36" s="36">
        <f t="shared" si="10"/>
        <v>10</v>
      </c>
      <c r="N36" s="36">
        <f t="shared" si="10"/>
        <v>10</v>
      </c>
      <c r="O36" s="36">
        <f t="shared" si="10"/>
        <v>10</v>
      </c>
      <c r="P36" s="36">
        <f t="shared" si="10"/>
        <v>10</v>
      </c>
      <c r="Q36" s="36">
        <f t="shared" si="10"/>
        <v>10</v>
      </c>
      <c r="R36" s="36">
        <f t="shared" si="10"/>
        <v>10</v>
      </c>
      <c r="S36" s="36">
        <f t="shared" si="10"/>
        <v>10</v>
      </c>
      <c r="T36" s="36" t="str">
        <f t="shared" ref="T36:W43" si="11">IF($C36&gt;=(4*T$82),((ROUNDUP((IF(((T$6*$C36+2*T$7)*(ROUNDDOWN($AC$2/T$2,0)*ROUNDDOWN($AC$3/T$3,0)*ROUNDDOWN($AC$4/($C36*25.4),0)))&lt;=20,((ROUNDDOWN($AC$2/T$2,0))*(ROUNDDOWN($AC$3/T$3,0))*(ROUNDDOWN($AC$4/($C36*25.4),0))),20/(T$6*$C36+2*T$7)))/10,0))*10),"-")</f>
        <v>-</v>
      </c>
      <c r="U36" s="36" t="str">
        <f t="shared" si="11"/>
        <v>-</v>
      </c>
      <c r="V36" s="36" t="str">
        <f t="shared" si="11"/>
        <v>-</v>
      </c>
      <c r="W36" s="36" t="str">
        <f t="shared" si="11"/>
        <v>-</v>
      </c>
      <c r="X36" s="36" t="str">
        <f t="shared" si="5"/>
        <v>-</v>
      </c>
      <c r="Y36" s="36" t="str">
        <f t="shared" si="5"/>
        <v>-</v>
      </c>
      <c r="Z36" s="36" t="str">
        <f t="shared" si="5"/>
        <v>-</v>
      </c>
      <c r="AE36" s="54">
        <v>10.5</v>
      </c>
      <c r="AF36" t="str">
        <f t="shared" si="7"/>
        <v>X</v>
      </c>
      <c r="AG36" t="str">
        <f t="shared" si="7"/>
        <v>X</v>
      </c>
      <c r="AH36" t="str">
        <f t="shared" si="7"/>
        <v>X</v>
      </c>
      <c r="AI36" t="str">
        <f t="shared" si="7"/>
        <v>X</v>
      </c>
      <c r="AJ36" t="str">
        <f t="shared" si="7"/>
        <v>X</v>
      </c>
      <c r="AK36" t="str">
        <f t="shared" si="7"/>
        <v>X</v>
      </c>
      <c r="AL36" t="str">
        <f t="shared" si="7"/>
        <v>X</v>
      </c>
      <c r="AM36" t="str">
        <f t="shared" si="7"/>
        <v>X</v>
      </c>
      <c r="AN36" t="str">
        <f t="shared" si="7"/>
        <v>X</v>
      </c>
      <c r="AO36" t="str">
        <f t="shared" si="7"/>
        <v>X</v>
      </c>
      <c r="AP36" t="str">
        <f t="shared" si="7"/>
        <v>X</v>
      </c>
      <c r="AQ36" t="str">
        <f t="shared" si="7"/>
        <v>X</v>
      </c>
      <c r="AR36" t="str">
        <f t="shared" si="7"/>
        <v>X</v>
      </c>
      <c r="AS36" t="str">
        <f t="shared" si="7"/>
        <v>X</v>
      </c>
      <c r="AT36" t="str">
        <f t="shared" si="7"/>
        <v>X</v>
      </c>
      <c r="AU36" t="str">
        <f t="shared" si="7"/>
        <v>X</v>
      </c>
      <c r="AV36" t="str">
        <f t="shared" si="8"/>
        <v>X</v>
      </c>
      <c r="AW36" t="str">
        <f t="shared" si="8"/>
        <v/>
      </c>
      <c r="AX36" t="str">
        <f t="shared" si="8"/>
        <v/>
      </c>
      <c r="AY36" t="str">
        <f t="shared" si="8"/>
        <v/>
      </c>
      <c r="AZ36" t="str">
        <f t="shared" si="4"/>
        <v/>
      </c>
      <c r="BA36" t="str">
        <f t="shared" si="4"/>
        <v/>
      </c>
      <c r="BB36" t="str">
        <f t="shared" si="4"/>
        <v/>
      </c>
    </row>
    <row r="37" spans="1:54" x14ac:dyDescent="0.55000000000000004">
      <c r="A37" s="83"/>
      <c r="B37" s="83"/>
      <c r="C37" s="54">
        <v>9.25</v>
      </c>
      <c r="D37" s="36">
        <f t="shared" si="10"/>
        <v>60</v>
      </c>
      <c r="E37" s="36">
        <f t="shared" si="10"/>
        <v>40</v>
      </c>
      <c r="F37" s="36">
        <f t="shared" si="10"/>
        <v>40</v>
      </c>
      <c r="G37" s="36">
        <f t="shared" si="10"/>
        <v>30</v>
      </c>
      <c r="H37" s="36">
        <f t="shared" si="10"/>
        <v>30</v>
      </c>
      <c r="I37" s="36">
        <f t="shared" si="10"/>
        <v>20</v>
      </c>
      <c r="J37" s="36">
        <f t="shared" si="10"/>
        <v>10</v>
      </c>
      <c r="K37" s="36">
        <f t="shared" si="10"/>
        <v>10</v>
      </c>
      <c r="L37" s="36">
        <f t="shared" si="10"/>
        <v>10</v>
      </c>
      <c r="M37" s="36">
        <f t="shared" si="10"/>
        <v>10</v>
      </c>
      <c r="N37" s="36">
        <f t="shared" si="10"/>
        <v>10</v>
      </c>
      <c r="O37" s="36">
        <f t="shared" si="10"/>
        <v>10</v>
      </c>
      <c r="P37" s="36">
        <f t="shared" si="10"/>
        <v>10</v>
      </c>
      <c r="Q37" s="36">
        <f t="shared" si="10"/>
        <v>10</v>
      </c>
      <c r="R37" s="36">
        <f t="shared" si="10"/>
        <v>10</v>
      </c>
      <c r="S37" s="36">
        <f t="shared" si="10"/>
        <v>10</v>
      </c>
      <c r="T37" s="36" t="str">
        <f t="shared" si="11"/>
        <v>-</v>
      </c>
      <c r="U37" s="36" t="str">
        <f t="shared" si="11"/>
        <v>-</v>
      </c>
      <c r="V37" s="36" t="str">
        <f t="shared" si="11"/>
        <v>-</v>
      </c>
      <c r="W37" s="36" t="str">
        <f t="shared" si="11"/>
        <v>-</v>
      </c>
      <c r="X37" s="36" t="str">
        <f t="shared" si="5"/>
        <v>-</v>
      </c>
      <c r="Y37" s="36" t="str">
        <f t="shared" si="5"/>
        <v>-</v>
      </c>
      <c r="Z37" s="36" t="str">
        <f t="shared" si="5"/>
        <v>-</v>
      </c>
      <c r="AE37" s="54">
        <v>10.75</v>
      </c>
      <c r="AF37" t="str">
        <f t="shared" si="7"/>
        <v>X</v>
      </c>
      <c r="AG37" t="str">
        <f t="shared" si="7"/>
        <v>X</v>
      </c>
      <c r="AH37" t="str">
        <f t="shared" si="7"/>
        <v>X</v>
      </c>
      <c r="AI37" t="str">
        <f t="shared" si="7"/>
        <v>X</v>
      </c>
      <c r="AJ37" t="str">
        <f t="shared" si="7"/>
        <v>X</v>
      </c>
      <c r="AK37" t="str">
        <f t="shared" si="7"/>
        <v>X</v>
      </c>
      <c r="AL37" t="str">
        <f t="shared" si="7"/>
        <v>X</v>
      </c>
      <c r="AM37" t="str">
        <f t="shared" si="7"/>
        <v>X</v>
      </c>
      <c r="AN37" t="str">
        <f t="shared" si="7"/>
        <v>X</v>
      </c>
      <c r="AO37" t="str">
        <f t="shared" si="7"/>
        <v>X</v>
      </c>
      <c r="AP37" t="str">
        <f t="shared" si="7"/>
        <v>X</v>
      </c>
      <c r="AQ37" t="str">
        <f t="shared" si="7"/>
        <v>X</v>
      </c>
      <c r="AR37" t="str">
        <f t="shared" si="7"/>
        <v>X</v>
      </c>
      <c r="AS37" t="str">
        <f t="shared" si="7"/>
        <v>X</v>
      </c>
      <c r="AT37" t="str">
        <f t="shared" si="7"/>
        <v>X</v>
      </c>
      <c r="AU37" t="str">
        <f t="shared" si="7"/>
        <v>X</v>
      </c>
      <c r="AV37" t="str">
        <f t="shared" si="8"/>
        <v>X</v>
      </c>
      <c r="AW37" t="str">
        <f t="shared" si="8"/>
        <v/>
      </c>
      <c r="AX37" t="str">
        <f t="shared" si="8"/>
        <v/>
      </c>
      <c r="AY37" t="str">
        <f t="shared" si="8"/>
        <v/>
      </c>
      <c r="AZ37" t="str">
        <f t="shared" si="4"/>
        <v/>
      </c>
      <c r="BA37" t="str">
        <f t="shared" si="4"/>
        <v/>
      </c>
      <c r="BB37" t="str">
        <f t="shared" si="4"/>
        <v/>
      </c>
    </row>
    <row r="38" spans="1:54" x14ac:dyDescent="0.55000000000000004">
      <c r="A38" s="83"/>
      <c r="B38" s="83"/>
      <c r="C38" s="54">
        <v>9.5</v>
      </c>
      <c r="D38" s="36">
        <f t="shared" si="10"/>
        <v>60</v>
      </c>
      <c r="E38" s="36">
        <f t="shared" si="10"/>
        <v>40</v>
      </c>
      <c r="F38" s="36">
        <f t="shared" si="10"/>
        <v>40</v>
      </c>
      <c r="G38" s="36">
        <f t="shared" si="10"/>
        <v>30</v>
      </c>
      <c r="H38" s="36">
        <f t="shared" si="10"/>
        <v>30</v>
      </c>
      <c r="I38" s="36">
        <f t="shared" si="10"/>
        <v>20</v>
      </c>
      <c r="J38" s="36">
        <f t="shared" si="10"/>
        <v>10</v>
      </c>
      <c r="K38" s="36">
        <f t="shared" si="10"/>
        <v>10</v>
      </c>
      <c r="L38" s="36">
        <f t="shared" si="10"/>
        <v>10</v>
      </c>
      <c r="M38" s="36">
        <f t="shared" si="10"/>
        <v>10</v>
      </c>
      <c r="N38" s="36">
        <f t="shared" si="10"/>
        <v>10</v>
      </c>
      <c r="O38" s="36">
        <f t="shared" si="10"/>
        <v>10</v>
      </c>
      <c r="P38" s="36">
        <f t="shared" si="10"/>
        <v>10</v>
      </c>
      <c r="Q38" s="36">
        <f t="shared" si="10"/>
        <v>10</v>
      </c>
      <c r="R38" s="36">
        <f t="shared" si="10"/>
        <v>10</v>
      </c>
      <c r="S38" s="36">
        <f t="shared" si="10"/>
        <v>10</v>
      </c>
      <c r="T38" s="36" t="str">
        <f t="shared" si="11"/>
        <v>-</v>
      </c>
      <c r="U38" s="36" t="str">
        <f t="shared" si="11"/>
        <v>-</v>
      </c>
      <c r="V38" s="36" t="str">
        <f t="shared" si="11"/>
        <v>-</v>
      </c>
      <c r="W38" s="36" t="str">
        <f t="shared" si="11"/>
        <v>-</v>
      </c>
      <c r="X38" s="36" t="str">
        <f t="shared" si="5"/>
        <v>-</v>
      </c>
      <c r="Y38" s="36" t="str">
        <f t="shared" si="5"/>
        <v>-</v>
      </c>
      <c r="Z38" s="36" t="str">
        <f t="shared" si="5"/>
        <v>-</v>
      </c>
      <c r="AE38" s="54">
        <v>11</v>
      </c>
      <c r="AF38" t="str">
        <f t="shared" si="7"/>
        <v>X</v>
      </c>
      <c r="AG38" t="str">
        <f t="shared" si="7"/>
        <v>X</v>
      </c>
      <c r="AH38" t="str">
        <f t="shared" si="7"/>
        <v>X</v>
      </c>
      <c r="AI38" t="str">
        <f t="shared" si="7"/>
        <v>X</v>
      </c>
      <c r="AJ38" t="str">
        <f t="shared" si="7"/>
        <v>X</v>
      </c>
      <c r="AK38" t="str">
        <f t="shared" si="7"/>
        <v>X</v>
      </c>
      <c r="AL38" t="str">
        <f t="shared" si="7"/>
        <v>X</v>
      </c>
      <c r="AM38" t="str">
        <f t="shared" si="7"/>
        <v>X</v>
      </c>
      <c r="AN38" t="str">
        <f t="shared" si="7"/>
        <v>X</v>
      </c>
      <c r="AO38" t="str">
        <f t="shared" si="7"/>
        <v>X</v>
      </c>
      <c r="AP38" t="str">
        <f t="shared" si="7"/>
        <v>X</v>
      </c>
      <c r="AQ38" t="str">
        <f t="shared" si="7"/>
        <v>X</v>
      </c>
      <c r="AR38" t="str">
        <f t="shared" si="7"/>
        <v>X</v>
      </c>
      <c r="AS38" t="str">
        <f t="shared" si="7"/>
        <v>X</v>
      </c>
      <c r="AT38" t="str">
        <f t="shared" si="7"/>
        <v>X</v>
      </c>
      <c r="AU38" t="str">
        <f t="shared" si="7"/>
        <v>X</v>
      </c>
      <c r="AV38" t="str">
        <f t="shared" si="8"/>
        <v>X</v>
      </c>
      <c r="AW38" t="str">
        <f t="shared" si="8"/>
        <v>X</v>
      </c>
      <c r="AX38" t="str">
        <f t="shared" si="8"/>
        <v/>
      </c>
      <c r="AY38" t="str">
        <f t="shared" si="8"/>
        <v/>
      </c>
      <c r="AZ38" t="str">
        <f t="shared" si="4"/>
        <v/>
      </c>
      <c r="BA38" t="str">
        <f t="shared" si="4"/>
        <v/>
      </c>
      <c r="BB38" t="str">
        <f t="shared" si="4"/>
        <v/>
      </c>
    </row>
    <row r="39" spans="1:54" x14ac:dyDescent="0.55000000000000004">
      <c r="A39" s="83"/>
      <c r="B39" s="83"/>
      <c r="C39" s="54">
        <v>9.75</v>
      </c>
      <c r="D39" s="36">
        <f t="shared" si="10"/>
        <v>60</v>
      </c>
      <c r="E39" s="36">
        <f t="shared" si="10"/>
        <v>40</v>
      </c>
      <c r="F39" s="36">
        <f t="shared" si="10"/>
        <v>40</v>
      </c>
      <c r="G39" s="36">
        <f t="shared" si="10"/>
        <v>30</v>
      </c>
      <c r="H39" s="36">
        <f t="shared" si="10"/>
        <v>30</v>
      </c>
      <c r="I39" s="36">
        <f t="shared" si="10"/>
        <v>20</v>
      </c>
      <c r="J39" s="36">
        <f t="shared" si="10"/>
        <v>10</v>
      </c>
      <c r="K39" s="36">
        <f t="shared" si="10"/>
        <v>10</v>
      </c>
      <c r="L39" s="36">
        <f t="shared" si="10"/>
        <v>10</v>
      </c>
      <c r="M39" s="36">
        <f t="shared" si="10"/>
        <v>10</v>
      </c>
      <c r="N39" s="36">
        <f t="shared" si="10"/>
        <v>10</v>
      </c>
      <c r="O39" s="36">
        <f t="shared" si="10"/>
        <v>10</v>
      </c>
      <c r="P39" s="36">
        <f t="shared" si="10"/>
        <v>10</v>
      </c>
      <c r="Q39" s="36">
        <f t="shared" si="10"/>
        <v>10</v>
      </c>
      <c r="R39" s="36">
        <f t="shared" si="10"/>
        <v>10</v>
      </c>
      <c r="S39" s="36">
        <f t="shared" si="10"/>
        <v>10</v>
      </c>
      <c r="T39" s="36" t="str">
        <f t="shared" si="11"/>
        <v>-</v>
      </c>
      <c r="U39" s="36" t="str">
        <f t="shared" si="11"/>
        <v>-</v>
      </c>
      <c r="V39" s="36" t="str">
        <f t="shared" si="11"/>
        <v>-</v>
      </c>
      <c r="W39" s="36" t="str">
        <f t="shared" si="11"/>
        <v>-</v>
      </c>
      <c r="X39" s="36" t="str">
        <f t="shared" si="5"/>
        <v>-</v>
      </c>
      <c r="Y39" s="36" t="str">
        <f t="shared" si="5"/>
        <v>-</v>
      </c>
      <c r="Z39" s="36" t="str">
        <f t="shared" si="5"/>
        <v>-</v>
      </c>
      <c r="AE39" s="54">
        <v>11.25</v>
      </c>
      <c r="AF39" t="str">
        <f t="shared" si="7"/>
        <v>X</v>
      </c>
      <c r="AG39" t="str">
        <f t="shared" si="7"/>
        <v>X</v>
      </c>
      <c r="AH39" t="str">
        <f t="shared" si="7"/>
        <v>X</v>
      </c>
      <c r="AI39" t="str">
        <f t="shared" si="7"/>
        <v>X</v>
      </c>
      <c r="AJ39" t="str">
        <f t="shared" si="7"/>
        <v>X</v>
      </c>
      <c r="AK39" t="str">
        <f t="shared" si="7"/>
        <v>X</v>
      </c>
      <c r="AL39" t="str">
        <f t="shared" si="7"/>
        <v>X</v>
      </c>
      <c r="AM39" t="str">
        <f t="shared" si="7"/>
        <v>X</v>
      </c>
      <c r="AN39" t="str">
        <f t="shared" si="7"/>
        <v>X</v>
      </c>
      <c r="AO39" t="str">
        <f t="shared" si="7"/>
        <v>X</v>
      </c>
      <c r="AP39" t="str">
        <f t="shared" si="7"/>
        <v>X</v>
      </c>
      <c r="AQ39" t="str">
        <f t="shared" si="7"/>
        <v>X</v>
      </c>
      <c r="AR39" t="str">
        <f t="shared" si="7"/>
        <v>X</v>
      </c>
      <c r="AS39" t="str">
        <f t="shared" si="7"/>
        <v>X</v>
      </c>
      <c r="AT39" t="str">
        <f t="shared" si="7"/>
        <v>X</v>
      </c>
      <c r="AU39" t="str">
        <f t="shared" si="7"/>
        <v>X</v>
      </c>
      <c r="AV39" t="str">
        <f t="shared" si="8"/>
        <v>X</v>
      </c>
      <c r="AW39" t="str">
        <f t="shared" si="8"/>
        <v>X</v>
      </c>
      <c r="AX39" t="str">
        <f t="shared" si="8"/>
        <v/>
      </c>
      <c r="AY39" t="str">
        <f t="shared" si="8"/>
        <v/>
      </c>
      <c r="AZ39" t="str">
        <f t="shared" si="4"/>
        <v/>
      </c>
      <c r="BA39" t="str">
        <f t="shared" si="4"/>
        <v/>
      </c>
      <c r="BB39" t="str">
        <f t="shared" si="4"/>
        <v/>
      </c>
    </row>
    <row r="40" spans="1:54" x14ac:dyDescent="0.55000000000000004">
      <c r="A40" s="83"/>
      <c r="B40" s="83"/>
      <c r="C40" s="54">
        <v>10</v>
      </c>
      <c r="D40" s="36">
        <f t="shared" si="10"/>
        <v>60</v>
      </c>
      <c r="E40" s="36">
        <f t="shared" si="10"/>
        <v>40</v>
      </c>
      <c r="F40" s="36">
        <f t="shared" si="10"/>
        <v>40</v>
      </c>
      <c r="G40" s="36">
        <f t="shared" si="10"/>
        <v>30</v>
      </c>
      <c r="H40" s="36">
        <f t="shared" si="10"/>
        <v>30</v>
      </c>
      <c r="I40" s="36">
        <f t="shared" si="10"/>
        <v>20</v>
      </c>
      <c r="J40" s="36">
        <f t="shared" si="10"/>
        <v>10</v>
      </c>
      <c r="K40" s="36">
        <f t="shared" si="10"/>
        <v>10</v>
      </c>
      <c r="L40" s="36">
        <f t="shared" si="10"/>
        <v>10</v>
      </c>
      <c r="M40" s="36">
        <f t="shared" si="10"/>
        <v>10</v>
      </c>
      <c r="N40" s="36">
        <f t="shared" si="10"/>
        <v>10</v>
      </c>
      <c r="O40" s="36">
        <f t="shared" si="10"/>
        <v>10</v>
      </c>
      <c r="P40" s="36">
        <f t="shared" si="10"/>
        <v>10</v>
      </c>
      <c r="Q40" s="36">
        <f t="shared" si="10"/>
        <v>10</v>
      </c>
      <c r="R40" s="36">
        <f t="shared" si="10"/>
        <v>10</v>
      </c>
      <c r="S40" s="36">
        <f t="shared" si="10"/>
        <v>10</v>
      </c>
      <c r="T40" s="36">
        <f t="shared" si="11"/>
        <v>10</v>
      </c>
      <c r="U40" s="36" t="str">
        <f t="shared" si="11"/>
        <v>-</v>
      </c>
      <c r="V40" s="36" t="str">
        <f t="shared" si="11"/>
        <v>-</v>
      </c>
      <c r="W40" s="36" t="str">
        <f t="shared" si="11"/>
        <v>-</v>
      </c>
      <c r="X40" s="36" t="str">
        <f t="shared" si="5"/>
        <v>-</v>
      </c>
      <c r="Y40" s="36" t="str">
        <f t="shared" si="5"/>
        <v>-</v>
      </c>
      <c r="Z40" s="36" t="str">
        <f t="shared" si="5"/>
        <v>-</v>
      </c>
      <c r="AE40" s="54">
        <v>11.5</v>
      </c>
      <c r="AF40" t="str">
        <f t="shared" si="7"/>
        <v>X</v>
      </c>
      <c r="AG40" t="str">
        <f t="shared" si="7"/>
        <v>X</v>
      </c>
      <c r="AH40" t="str">
        <f t="shared" si="7"/>
        <v>X</v>
      </c>
      <c r="AI40" t="str">
        <f t="shared" si="7"/>
        <v>X</v>
      </c>
      <c r="AJ40" t="str">
        <f t="shared" si="7"/>
        <v>X</v>
      </c>
      <c r="AK40" t="str">
        <f t="shared" si="7"/>
        <v>X</v>
      </c>
      <c r="AL40" t="str">
        <f t="shared" si="7"/>
        <v>X</v>
      </c>
      <c r="AM40" t="str">
        <f t="shared" si="7"/>
        <v>X</v>
      </c>
      <c r="AN40" t="str">
        <f t="shared" si="7"/>
        <v>X</v>
      </c>
      <c r="AO40" t="str">
        <f t="shared" si="7"/>
        <v>X</v>
      </c>
      <c r="AP40" t="str">
        <f t="shared" si="7"/>
        <v>X</v>
      </c>
      <c r="AQ40" t="str">
        <f t="shared" si="7"/>
        <v>X</v>
      </c>
      <c r="AR40" t="str">
        <f t="shared" si="7"/>
        <v>X</v>
      </c>
      <c r="AS40" t="str">
        <f t="shared" si="7"/>
        <v>X</v>
      </c>
      <c r="AT40" t="str">
        <f t="shared" si="7"/>
        <v>X</v>
      </c>
      <c r="AU40" t="str">
        <f t="shared" si="7"/>
        <v>X</v>
      </c>
      <c r="AV40" t="str">
        <f t="shared" si="8"/>
        <v>X</v>
      </c>
      <c r="AW40" t="str">
        <f t="shared" si="8"/>
        <v>X</v>
      </c>
      <c r="AX40" t="str">
        <f t="shared" si="8"/>
        <v/>
      </c>
      <c r="AY40" t="str">
        <f t="shared" si="8"/>
        <v/>
      </c>
      <c r="AZ40" t="str">
        <f t="shared" si="4"/>
        <v/>
      </c>
      <c r="BA40" t="str">
        <f t="shared" si="4"/>
        <v/>
      </c>
      <c r="BB40" t="str">
        <f t="shared" si="4"/>
        <v/>
      </c>
    </row>
    <row r="41" spans="1:54" x14ac:dyDescent="0.55000000000000004">
      <c r="A41" s="83"/>
      <c r="B41" s="83"/>
      <c r="C41" s="54">
        <v>10.25</v>
      </c>
      <c r="D41" s="36">
        <f t="shared" si="10"/>
        <v>60</v>
      </c>
      <c r="E41" s="36">
        <f t="shared" si="10"/>
        <v>40</v>
      </c>
      <c r="F41" s="36">
        <f t="shared" si="10"/>
        <v>40</v>
      </c>
      <c r="G41" s="36">
        <f t="shared" si="10"/>
        <v>30</v>
      </c>
      <c r="H41" s="36">
        <f t="shared" si="10"/>
        <v>30</v>
      </c>
      <c r="I41" s="36">
        <f t="shared" si="10"/>
        <v>20</v>
      </c>
      <c r="J41" s="36">
        <f t="shared" si="10"/>
        <v>10</v>
      </c>
      <c r="K41" s="36">
        <f t="shared" si="10"/>
        <v>10</v>
      </c>
      <c r="L41" s="36">
        <f t="shared" si="10"/>
        <v>10</v>
      </c>
      <c r="M41" s="36">
        <f t="shared" si="10"/>
        <v>10</v>
      </c>
      <c r="N41" s="36">
        <f t="shared" si="10"/>
        <v>10</v>
      </c>
      <c r="O41" s="36">
        <f t="shared" si="10"/>
        <v>10</v>
      </c>
      <c r="P41" s="36">
        <f t="shared" si="10"/>
        <v>10</v>
      </c>
      <c r="Q41" s="36">
        <f t="shared" si="10"/>
        <v>10</v>
      </c>
      <c r="R41" s="36">
        <f t="shared" si="10"/>
        <v>10</v>
      </c>
      <c r="S41" s="36">
        <f t="shared" si="10"/>
        <v>10</v>
      </c>
      <c r="T41" s="36">
        <f t="shared" si="11"/>
        <v>10</v>
      </c>
      <c r="U41" s="36" t="str">
        <f t="shared" si="11"/>
        <v>-</v>
      </c>
      <c r="V41" s="36" t="str">
        <f t="shared" si="11"/>
        <v>-</v>
      </c>
      <c r="W41" s="36" t="str">
        <f t="shared" si="11"/>
        <v>-</v>
      </c>
      <c r="X41" s="36" t="str">
        <f t="shared" si="5"/>
        <v>-</v>
      </c>
      <c r="Y41" s="36" t="str">
        <f t="shared" si="5"/>
        <v>-</v>
      </c>
      <c r="Z41" s="36" t="str">
        <f t="shared" si="5"/>
        <v>-</v>
      </c>
      <c r="AE41" s="54">
        <v>11.75</v>
      </c>
      <c r="AF41" t="str">
        <f t="shared" si="7"/>
        <v>X</v>
      </c>
      <c r="AG41" t="str">
        <f t="shared" si="7"/>
        <v>X</v>
      </c>
      <c r="AH41" t="str">
        <f t="shared" si="7"/>
        <v>X</v>
      </c>
      <c r="AI41" t="str">
        <f t="shared" si="7"/>
        <v>X</v>
      </c>
      <c r="AJ41" t="str">
        <f t="shared" si="7"/>
        <v>X</v>
      </c>
      <c r="AK41" t="str">
        <f t="shared" si="7"/>
        <v>X</v>
      </c>
      <c r="AL41" t="str">
        <f t="shared" si="7"/>
        <v>X</v>
      </c>
      <c r="AM41" t="str">
        <f t="shared" si="7"/>
        <v>X</v>
      </c>
      <c r="AN41" t="str">
        <f t="shared" si="7"/>
        <v>X</v>
      </c>
      <c r="AO41" t="str">
        <f t="shared" si="7"/>
        <v>X</v>
      </c>
      <c r="AP41" t="str">
        <f t="shared" si="7"/>
        <v>X</v>
      </c>
      <c r="AQ41" t="str">
        <f t="shared" si="7"/>
        <v>X</v>
      </c>
      <c r="AR41" t="str">
        <f t="shared" si="7"/>
        <v>X</v>
      </c>
      <c r="AS41" t="str">
        <f t="shared" si="7"/>
        <v>X</v>
      </c>
      <c r="AT41" t="str">
        <f t="shared" si="7"/>
        <v>X</v>
      </c>
      <c r="AU41" t="str">
        <f t="shared" si="7"/>
        <v>X</v>
      </c>
      <c r="AV41" t="str">
        <f t="shared" si="8"/>
        <v>X</v>
      </c>
      <c r="AW41" t="str">
        <f t="shared" si="8"/>
        <v>X</v>
      </c>
      <c r="AX41" t="str">
        <f t="shared" si="8"/>
        <v/>
      </c>
      <c r="AY41" t="str">
        <f t="shared" si="8"/>
        <v/>
      </c>
      <c r="AZ41" t="str">
        <f t="shared" si="4"/>
        <v/>
      </c>
      <c r="BA41" t="str">
        <f t="shared" si="4"/>
        <v/>
      </c>
      <c r="BB41" t="str">
        <f t="shared" si="4"/>
        <v/>
      </c>
    </row>
    <row r="42" spans="1:54" x14ac:dyDescent="0.55000000000000004">
      <c r="A42" s="83"/>
      <c r="B42" s="83"/>
      <c r="C42" s="54">
        <v>10.5</v>
      </c>
      <c r="D42" s="36">
        <f t="shared" si="10"/>
        <v>60</v>
      </c>
      <c r="E42" s="36">
        <f t="shared" si="10"/>
        <v>40</v>
      </c>
      <c r="F42" s="36">
        <f t="shared" si="10"/>
        <v>40</v>
      </c>
      <c r="G42" s="36">
        <f t="shared" si="10"/>
        <v>30</v>
      </c>
      <c r="H42" s="36">
        <f t="shared" si="10"/>
        <v>30</v>
      </c>
      <c r="I42" s="36">
        <f t="shared" si="10"/>
        <v>20</v>
      </c>
      <c r="J42" s="36">
        <f t="shared" si="10"/>
        <v>10</v>
      </c>
      <c r="K42" s="36">
        <f t="shared" si="10"/>
        <v>10</v>
      </c>
      <c r="L42" s="36">
        <f t="shared" si="10"/>
        <v>10</v>
      </c>
      <c r="M42" s="36">
        <f t="shared" si="10"/>
        <v>10</v>
      </c>
      <c r="N42" s="36">
        <f t="shared" si="10"/>
        <v>10</v>
      </c>
      <c r="O42" s="36">
        <f t="shared" si="10"/>
        <v>10</v>
      </c>
      <c r="P42" s="36">
        <f t="shared" si="10"/>
        <v>10</v>
      </c>
      <c r="Q42" s="36">
        <f t="shared" si="10"/>
        <v>10</v>
      </c>
      <c r="R42" s="36">
        <f t="shared" si="10"/>
        <v>10</v>
      </c>
      <c r="S42" s="36">
        <f t="shared" si="10"/>
        <v>10</v>
      </c>
      <c r="T42" s="36">
        <f t="shared" si="11"/>
        <v>10</v>
      </c>
      <c r="U42" s="36" t="str">
        <f t="shared" si="11"/>
        <v>-</v>
      </c>
      <c r="V42" s="36" t="str">
        <f t="shared" si="11"/>
        <v>-</v>
      </c>
      <c r="W42" s="36" t="str">
        <f t="shared" si="11"/>
        <v>-</v>
      </c>
      <c r="X42" s="36" t="str">
        <f t="shared" si="5"/>
        <v>-</v>
      </c>
      <c r="Y42" s="36" t="str">
        <f t="shared" si="5"/>
        <v>-</v>
      </c>
      <c r="Z42" s="36" t="str">
        <f t="shared" si="5"/>
        <v>-</v>
      </c>
      <c r="AE42" s="54">
        <v>12</v>
      </c>
      <c r="AF42" t="str">
        <f t="shared" si="7"/>
        <v>X</v>
      </c>
      <c r="AG42" t="str">
        <f t="shared" si="7"/>
        <v>X</v>
      </c>
      <c r="AH42" t="str">
        <f t="shared" si="7"/>
        <v>X</v>
      </c>
      <c r="AI42" t="str">
        <f t="shared" si="7"/>
        <v>X</v>
      </c>
      <c r="AJ42" t="str">
        <f t="shared" si="7"/>
        <v>X</v>
      </c>
      <c r="AK42" t="str">
        <f t="shared" si="7"/>
        <v>X</v>
      </c>
      <c r="AL42" t="str">
        <f t="shared" si="7"/>
        <v>X</v>
      </c>
      <c r="AM42" t="str">
        <f t="shared" si="7"/>
        <v>X</v>
      </c>
      <c r="AN42" t="str">
        <f t="shared" si="7"/>
        <v>X</v>
      </c>
      <c r="AO42" t="str">
        <f t="shared" si="7"/>
        <v>X</v>
      </c>
      <c r="AP42" t="str">
        <f t="shared" si="7"/>
        <v>X</v>
      </c>
      <c r="AQ42" t="str">
        <f t="shared" si="7"/>
        <v>X</v>
      </c>
      <c r="AR42" t="str">
        <f t="shared" si="7"/>
        <v>X</v>
      </c>
      <c r="AS42" t="str">
        <f t="shared" si="7"/>
        <v>X</v>
      </c>
      <c r="AT42" t="str">
        <f t="shared" si="7"/>
        <v>X</v>
      </c>
      <c r="AU42" t="str">
        <f t="shared" si="7"/>
        <v>X</v>
      </c>
      <c r="AV42" t="str">
        <f t="shared" si="8"/>
        <v>X</v>
      </c>
      <c r="AW42" t="str">
        <f t="shared" si="8"/>
        <v>X</v>
      </c>
      <c r="AX42" t="str">
        <f t="shared" si="8"/>
        <v>X</v>
      </c>
      <c r="AY42" t="str">
        <f t="shared" si="8"/>
        <v/>
      </c>
      <c r="AZ42" t="str">
        <f t="shared" si="4"/>
        <v/>
      </c>
      <c r="BA42" t="str">
        <f t="shared" si="4"/>
        <v/>
      </c>
      <c r="BB42" t="str">
        <f t="shared" si="4"/>
        <v/>
      </c>
    </row>
    <row r="43" spans="1:54" x14ac:dyDescent="0.55000000000000004">
      <c r="A43" s="83"/>
      <c r="B43" s="83"/>
      <c r="C43" s="54">
        <v>10.75</v>
      </c>
      <c r="D43" s="36">
        <f t="shared" si="10"/>
        <v>60</v>
      </c>
      <c r="E43" s="36">
        <f t="shared" si="10"/>
        <v>40</v>
      </c>
      <c r="F43" s="36">
        <f t="shared" si="10"/>
        <v>40</v>
      </c>
      <c r="G43" s="36">
        <f t="shared" si="10"/>
        <v>30</v>
      </c>
      <c r="H43" s="36">
        <f t="shared" si="10"/>
        <v>30</v>
      </c>
      <c r="I43" s="36">
        <f t="shared" si="10"/>
        <v>20</v>
      </c>
      <c r="J43" s="36">
        <f t="shared" si="10"/>
        <v>10</v>
      </c>
      <c r="K43" s="36">
        <f t="shared" si="10"/>
        <v>10</v>
      </c>
      <c r="L43" s="36">
        <f t="shared" si="10"/>
        <v>10</v>
      </c>
      <c r="M43" s="36">
        <f t="shared" si="10"/>
        <v>10</v>
      </c>
      <c r="N43" s="36">
        <f t="shared" si="10"/>
        <v>10</v>
      </c>
      <c r="O43" s="36">
        <f t="shared" si="10"/>
        <v>10</v>
      </c>
      <c r="P43" s="36">
        <f t="shared" si="10"/>
        <v>10</v>
      </c>
      <c r="Q43" s="36">
        <f t="shared" si="10"/>
        <v>10</v>
      </c>
      <c r="R43" s="36">
        <f t="shared" si="10"/>
        <v>10</v>
      </c>
      <c r="S43" s="36">
        <f t="shared" si="10"/>
        <v>10</v>
      </c>
      <c r="T43" s="36">
        <f t="shared" si="11"/>
        <v>10</v>
      </c>
      <c r="U43" s="36" t="str">
        <f t="shared" si="11"/>
        <v>-</v>
      </c>
      <c r="V43" s="36" t="str">
        <f t="shared" si="11"/>
        <v>-</v>
      </c>
      <c r="W43" s="36" t="str">
        <f t="shared" si="11"/>
        <v>-</v>
      </c>
      <c r="X43" s="36" t="str">
        <f t="shared" si="5"/>
        <v>-</v>
      </c>
      <c r="Y43" s="36" t="str">
        <f t="shared" si="5"/>
        <v>-</v>
      </c>
      <c r="Z43" s="36" t="str">
        <f t="shared" si="5"/>
        <v>-</v>
      </c>
      <c r="AE43" s="54">
        <v>12.25</v>
      </c>
      <c r="AF43" t="str">
        <f t="shared" si="7"/>
        <v>X</v>
      </c>
      <c r="AG43" t="str">
        <f t="shared" si="7"/>
        <v>X</v>
      </c>
      <c r="AH43" t="str">
        <f t="shared" si="7"/>
        <v>X</v>
      </c>
      <c r="AI43" t="str">
        <f t="shared" si="7"/>
        <v>X</v>
      </c>
      <c r="AJ43" t="str">
        <f t="shared" si="7"/>
        <v>X</v>
      </c>
      <c r="AK43" t="str">
        <f t="shared" si="7"/>
        <v>X</v>
      </c>
      <c r="AL43" t="str">
        <f t="shared" si="7"/>
        <v>X</v>
      </c>
      <c r="AM43" t="str">
        <f t="shared" si="7"/>
        <v>X</v>
      </c>
      <c r="AN43" t="str">
        <f t="shared" si="7"/>
        <v>X</v>
      </c>
      <c r="AO43" t="str">
        <f t="shared" si="7"/>
        <v>X</v>
      </c>
      <c r="AP43" t="str">
        <f t="shared" si="7"/>
        <v>X</v>
      </c>
      <c r="AQ43" t="str">
        <f t="shared" si="7"/>
        <v>X</v>
      </c>
      <c r="AR43" t="str">
        <f t="shared" si="7"/>
        <v>X</v>
      </c>
      <c r="AS43" t="str">
        <f t="shared" si="7"/>
        <v>X</v>
      </c>
      <c r="AT43" t="str">
        <f t="shared" si="7"/>
        <v>X</v>
      </c>
      <c r="AU43" t="str">
        <f t="shared" si="7"/>
        <v>X</v>
      </c>
      <c r="AV43" t="str">
        <f t="shared" si="8"/>
        <v>X</v>
      </c>
      <c r="AW43" t="str">
        <f t="shared" si="8"/>
        <v>X</v>
      </c>
      <c r="AX43" t="str">
        <f t="shared" si="8"/>
        <v>X</v>
      </c>
      <c r="AY43" t="str">
        <f t="shared" si="8"/>
        <v/>
      </c>
      <c r="AZ43" t="str">
        <f t="shared" si="4"/>
        <v/>
      </c>
      <c r="BA43" t="str">
        <f t="shared" si="4"/>
        <v/>
      </c>
      <c r="BB43" t="str">
        <f t="shared" si="4"/>
        <v/>
      </c>
    </row>
    <row r="44" spans="1:54" x14ac:dyDescent="0.55000000000000004">
      <c r="A44" s="83"/>
      <c r="B44" s="83"/>
      <c r="C44" s="54">
        <v>11</v>
      </c>
      <c r="D44" s="36">
        <f t="shared" si="10"/>
        <v>60</v>
      </c>
      <c r="E44" s="36">
        <f t="shared" si="10"/>
        <v>40</v>
      </c>
      <c r="F44" s="36">
        <f t="shared" si="10"/>
        <v>40</v>
      </c>
      <c r="G44" s="36">
        <f t="shared" si="10"/>
        <v>30</v>
      </c>
      <c r="H44" s="36">
        <f t="shared" si="10"/>
        <v>30</v>
      </c>
      <c r="I44" s="36">
        <f t="shared" si="10"/>
        <v>20</v>
      </c>
      <c r="J44" s="36">
        <f t="shared" si="10"/>
        <v>10</v>
      </c>
      <c r="K44" s="36">
        <f t="shared" si="10"/>
        <v>10</v>
      </c>
      <c r="L44" s="36">
        <f t="shared" si="10"/>
        <v>10</v>
      </c>
      <c r="M44" s="36">
        <f t="shared" si="10"/>
        <v>10</v>
      </c>
      <c r="N44" s="36">
        <f t="shared" si="10"/>
        <v>10</v>
      </c>
      <c r="O44" s="36">
        <f t="shared" si="10"/>
        <v>10</v>
      </c>
      <c r="P44" s="36">
        <f t="shared" si="10"/>
        <v>10</v>
      </c>
      <c r="Q44" s="36">
        <f t="shared" si="10"/>
        <v>10</v>
      </c>
      <c r="R44" s="36">
        <f t="shared" si="10"/>
        <v>10</v>
      </c>
      <c r="S44" s="36">
        <f t="shared" si="10"/>
        <v>10</v>
      </c>
      <c r="T44" s="36">
        <f>IF($C44&gt;=(4*T$82),((ROUNDUP((IF(((T$6*$C44+2*T$7)*(ROUNDDOWN($AC$2/T$2,0)*ROUNDDOWN($AC$3/T$3,0)*ROUNDDOWN($AC$4/($C44*25.4),0)))&lt;=20,((ROUNDDOWN($AC$2/T$2,0))*(ROUNDDOWN($AC$3/T$3,0))*(ROUNDDOWN($AC$4/($C44*25.4),0))),20/(T$6*$C44+2*T$7)))/10,0))*10),"-")</f>
        <v>10</v>
      </c>
      <c r="U44" s="36">
        <v>1</v>
      </c>
      <c r="V44" s="36" t="str">
        <f t="shared" ref="V44:W47" si="12">IF($C44&gt;=(4*V$82),((ROUNDUP((IF(((V$6*$C44+2*V$7)*(ROUNDDOWN($AC$2/V$2,0)*ROUNDDOWN($AC$3/V$3,0)*ROUNDDOWN($AC$4/($C44*25.4),0)))&lt;=20,((ROUNDDOWN($AC$2/V$2,0))*(ROUNDDOWN($AC$3/V$3,0))*(ROUNDDOWN($AC$4/($C44*25.4),0))),20/(V$6*$C44+2*V$7)))/10,0))*10),"-")</f>
        <v>-</v>
      </c>
      <c r="W44" s="36" t="str">
        <f t="shared" si="12"/>
        <v>-</v>
      </c>
      <c r="X44" s="36" t="str">
        <f t="shared" si="5"/>
        <v>-</v>
      </c>
      <c r="Y44" s="36" t="str">
        <f t="shared" si="5"/>
        <v>-</v>
      </c>
      <c r="Z44" s="36" t="str">
        <f t="shared" si="5"/>
        <v>-</v>
      </c>
      <c r="AE44" s="54">
        <v>12.5</v>
      </c>
      <c r="AF44" t="str">
        <f t="shared" si="7"/>
        <v>X</v>
      </c>
      <c r="AG44" t="str">
        <f t="shared" si="7"/>
        <v>X</v>
      </c>
      <c r="AH44" t="str">
        <f t="shared" si="7"/>
        <v>X</v>
      </c>
      <c r="AI44" t="str">
        <f t="shared" si="7"/>
        <v>X</v>
      </c>
      <c r="AJ44" t="str">
        <f t="shared" si="7"/>
        <v>X</v>
      </c>
      <c r="AK44" t="str">
        <f t="shared" si="7"/>
        <v>X</v>
      </c>
      <c r="AL44" t="str">
        <f t="shared" si="7"/>
        <v>X</v>
      </c>
      <c r="AM44" t="str">
        <f t="shared" si="7"/>
        <v>X</v>
      </c>
      <c r="AN44" t="str">
        <f t="shared" si="7"/>
        <v>X</v>
      </c>
      <c r="AO44" t="str">
        <f t="shared" si="7"/>
        <v>X</v>
      </c>
      <c r="AP44" t="str">
        <f t="shared" si="7"/>
        <v>X</v>
      </c>
      <c r="AQ44" t="str">
        <f t="shared" si="7"/>
        <v>X</v>
      </c>
      <c r="AR44" t="str">
        <f t="shared" si="7"/>
        <v>X</v>
      </c>
      <c r="AS44" t="str">
        <f t="shared" si="7"/>
        <v>X</v>
      </c>
      <c r="AT44" t="str">
        <f t="shared" si="7"/>
        <v>X</v>
      </c>
      <c r="AU44" t="str">
        <f t="shared" si="7"/>
        <v>X</v>
      </c>
      <c r="AV44" t="str">
        <f t="shared" si="8"/>
        <v>X</v>
      </c>
      <c r="AW44" t="str">
        <f t="shared" si="8"/>
        <v>X</v>
      </c>
      <c r="AX44" t="str">
        <f t="shared" si="8"/>
        <v>X</v>
      </c>
      <c r="AY44" t="str">
        <f t="shared" si="8"/>
        <v/>
      </c>
      <c r="AZ44" t="str">
        <f t="shared" si="4"/>
        <v/>
      </c>
      <c r="BA44" t="str">
        <f t="shared" si="4"/>
        <v/>
      </c>
      <c r="BB44" t="str">
        <f t="shared" si="4"/>
        <v/>
      </c>
    </row>
    <row r="45" spans="1:54" x14ac:dyDescent="0.55000000000000004">
      <c r="A45" s="83"/>
      <c r="B45" s="83"/>
      <c r="C45" s="54">
        <v>11.25</v>
      </c>
      <c r="D45" s="36">
        <f t="shared" si="10"/>
        <v>60</v>
      </c>
      <c r="E45" s="36">
        <f t="shared" si="10"/>
        <v>40</v>
      </c>
      <c r="F45" s="36">
        <f t="shared" si="10"/>
        <v>40</v>
      </c>
      <c r="G45" s="36">
        <f t="shared" si="10"/>
        <v>30</v>
      </c>
      <c r="H45" s="36">
        <f t="shared" si="10"/>
        <v>30</v>
      </c>
      <c r="I45" s="36">
        <f t="shared" si="10"/>
        <v>20</v>
      </c>
      <c r="J45" s="36">
        <f t="shared" si="10"/>
        <v>10</v>
      </c>
      <c r="K45" s="36">
        <f t="shared" si="10"/>
        <v>10</v>
      </c>
      <c r="L45" s="36">
        <f t="shared" si="10"/>
        <v>10</v>
      </c>
      <c r="M45" s="36">
        <f t="shared" si="10"/>
        <v>10</v>
      </c>
      <c r="N45" s="36">
        <f t="shared" si="10"/>
        <v>10</v>
      </c>
      <c r="O45" s="36">
        <f t="shared" si="10"/>
        <v>10</v>
      </c>
      <c r="P45" s="36">
        <f t="shared" si="10"/>
        <v>10</v>
      </c>
      <c r="Q45" s="36">
        <f t="shared" si="10"/>
        <v>10</v>
      </c>
      <c r="R45" s="36">
        <f t="shared" si="10"/>
        <v>10</v>
      </c>
      <c r="S45" s="36">
        <f t="shared" si="10"/>
        <v>10</v>
      </c>
      <c r="T45" s="36">
        <f>IF($C45&gt;=(4*T$82),((ROUNDUP((IF(((T$6*$C45+2*T$7)*(ROUNDDOWN($AC$2/T$2,0)*ROUNDDOWN($AC$3/T$3,0)*ROUNDDOWN($AC$4/($C45*25.4),0)))&lt;=20,((ROUNDDOWN($AC$2/T$2,0))*(ROUNDDOWN($AC$3/T$3,0))*(ROUNDDOWN($AC$4/($C45*25.4),0))),20/(T$6*$C45+2*T$7)))/10,0))*10),"-")</f>
        <v>10</v>
      </c>
      <c r="U45" s="36">
        <v>1</v>
      </c>
      <c r="V45" s="36" t="str">
        <f t="shared" si="12"/>
        <v>-</v>
      </c>
      <c r="W45" s="36" t="str">
        <f t="shared" si="12"/>
        <v>-</v>
      </c>
      <c r="X45" s="36" t="str">
        <f t="shared" si="5"/>
        <v>-</v>
      </c>
      <c r="Y45" s="36" t="str">
        <f t="shared" si="5"/>
        <v>-</v>
      </c>
      <c r="Z45" s="36" t="str">
        <f t="shared" si="5"/>
        <v>-</v>
      </c>
      <c r="AE45" s="54">
        <v>12.75</v>
      </c>
      <c r="AF45" t="str">
        <f t="shared" si="7"/>
        <v>X</v>
      </c>
      <c r="AG45" t="str">
        <f t="shared" si="7"/>
        <v>X</v>
      </c>
      <c r="AH45" t="str">
        <f t="shared" si="7"/>
        <v>X</v>
      </c>
      <c r="AI45" t="str">
        <f t="shared" si="7"/>
        <v>X</v>
      </c>
      <c r="AJ45" t="str">
        <f t="shared" si="7"/>
        <v>X</v>
      </c>
      <c r="AK45" t="str">
        <f t="shared" si="7"/>
        <v>X</v>
      </c>
      <c r="AL45" t="str">
        <f t="shared" si="7"/>
        <v>X</v>
      </c>
      <c r="AM45" t="str">
        <f t="shared" si="7"/>
        <v>X</v>
      </c>
      <c r="AN45" t="str">
        <f t="shared" si="7"/>
        <v>X</v>
      </c>
      <c r="AO45" t="str">
        <f t="shared" si="7"/>
        <v>X</v>
      </c>
      <c r="AP45" t="str">
        <f t="shared" si="7"/>
        <v>X</v>
      </c>
      <c r="AQ45" t="str">
        <f t="shared" si="7"/>
        <v>X</v>
      </c>
      <c r="AR45" t="str">
        <f t="shared" si="7"/>
        <v>X</v>
      </c>
      <c r="AS45" t="str">
        <f t="shared" si="7"/>
        <v>X</v>
      </c>
      <c r="AT45" t="str">
        <f t="shared" si="7"/>
        <v>X</v>
      </c>
      <c r="AU45" t="str">
        <f t="shared" ref="AU45:BB60" si="13">IF($AE45&gt;=(4*AU$1),"X","")</f>
        <v>X</v>
      </c>
      <c r="AV45" t="str">
        <f t="shared" si="13"/>
        <v>X</v>
      </c>
      <c r="AW45" t="str">
        <f t="shared" si="13"/>
        <v>X</v>
      </c>
      <c r="AX45" t="str">
        <f t="shared" si="13"/>
        <v>X</v>
      </c>
      <c r="AY45" t="str">
        <f t="shared" si="13"/>
        <v/>
      </c>
      <c r="AZ45" t="str">
        <f t="shared" si="13"/>
        <v/>
      </c>
      <c r="BA45" t="str">
        <f t="shared" si="13"/>
        <v/>
      </c>
      <c r="BB45" t="str">
        <f t="shared" si="13"/>
        <v/>
      </c>
    </row>
    <row r="46" spans="1:54" x14ac:dyDescent="0.55000000000000004">
      <c r="A46" s="83"/>
      <c r="B46" s="83"/>
      <c r="C46" s="54">
        <v>11.5</v>
      </c>
      <c r="D46" s="36">
        <f t="shared" si="10"/>
        <v>60</v>
      </c>
      <c r="E46" s="36">
        <f t="shared" si="10"/>
        <v>40</v>
      </c>
      <c r="F46" s="36">
        <f t="shared" si="10"/>
        <v>40</v>
      </c>
      <c r="G46" s="36">
        <f t="shared" si="10"/>
        <v>30</v>
      </c>
      <c r="H46" s="36">
        <f t="shared" si="10"/>
        <v>30</v>
      </c>
      <c r="I46" s="36">
        <f t="shared" si="10"/>
        <v>20</v>
      </c>
      <c r="J46" s="36">
        <f t="shared" si="10"/>
        <v>10</v>
      </c>
      <c r="K46" s="36">
        <f t="shared" si="10"/>
        <v>10</v>
      </c>
      <c r="L46" s="36">
        <f t="shared" si="10"/>
        <v>10</v>
      </c>
      <c r="M46" s="36">
        <f t="shared" si="10"/>
        <v>10</v>
      </c>
      <c r="N46" s="36">
        <f t="shared" si="10"/>
        <v>10</v>
      </c>
      <c r="O46" s="36">
        <f t="shared" si="10"/>
        <v>10</v>
      </c>
      <c r="P46" s="36">
        <f t="shared" si="10"/>
        <v>10</v>
      </c>
      <c r="Q46" s="36">
        <f t="shared" si="10"/>
        <v>10</v>
      </c>
      <c r="R46" s="36">
        <f t="shared" si="10"/>
        <v>10</v>
      </c>
      <c r="S46" s="36">
        <f t="shared" si="10"/>
        <v>10</v>
      </c>
      <c r="T46" s="36">
        <f>IF($C46&gt;=(4*T$82),((ROUNDUP((IF(((T$6*$C46+2*T$7)*(ROUNDDOWN($AC$2/T$2,0)*ROUNDDOWN($AC$3/T$3,0)*ROUNDDOWN($AC$4/($C46*25.4),0)))&lt;=20,((ROUNDDOWN($AC$2/T$2,0))*(ROUNDDOWN($AC$3/T$3,0))*(ROUNDDOWN($AC$4/($C46*25.4),0))),20/(T$6*$C46+2*T$7)))/10,0))*10),"-")</f>
        <v>10</v>
      </c>
      <c r="U46" s="36">
        <v>1</v>
      </c>
      <c r="V46" s="36" t="str">
        <f t="shared" si="12"/>
        <v>-</v>
      </c>
      <c r="W46" s="36" t="str">
        <f t="shared" si="12"/>
        <v>-</v>
      </c>
      <c r="X46" s="36" t="str">
        <f t="shared" si="5"/>
        <v>-</v>
      </c>
      <c r="Y46" s="36" t="str">
        <f t="shared" si="5"/>
        <v>-</v>
      </c>
      <c r="Z46" s="36" t="str">
        <f t="shared" si="5"/>
        <v>-</v>
      </c>
      <c r="AE46" s="54">
        <v>13</v>
      </c>
      <c r="AF46" t="str">
        <f t="shared" ref="AF46:AU61" si="14">IF($AE46&gt;=(4*AF$1),"X","")</f>
        <v>X</v>
      </c>
      <c r="AG46" t="str">
        <f t="shared" si="14"/>
        <v>X</v>
      </c>
      <c r="AH46" t="str">
        <f t="shared" si="14"/>
        <v>X</v>
      </c>
      <c r="AI46" t="str">
        <f t="shared" si="14"/>
        <v>X</v>
      </c>
      <c r="AJ46" t="str">
        <f t="shared" si="14"/>
        <v>X</v>
      </c>
      <c r="AK46" t="str">
        <f t="shared" si="14"/>
        <v>X</v>
      </c>
      <c r="AL46" t="str">
        <f t="shared" si="14"/>
        <v>X</v>
      </c>
      <c r="AM46" t="str">
        <f t="shared" si="14"/>
        <v>X</v>
      </c>
      <c r="AN46" t="str">
        <f t="shared" si="14"/>
        <v>X</v>
      </c>
      <c r="AO46" t="str">
        <f t="shared" si="14"/>
        <v>X</v>
      </c>
      <c r="AP46" t="str">
        <f t="shared" si="14"/>
        <v>X</v>
      </c>
      <c r="AQ46" t="str">
        <f t="shared" si="14"/>
        <v>X</v>
      </c>
      <c r="AR46" t="str">
        <f t="shared" si="14"/>
        <v>X</v>
      </c>
      <c r="AS46" t="str">
        <f t="shared" si="14"/>
        <v>X</v>
      </c>
      <c r="AT46" t="str">
        <f t="shared" si="14"/>
        <v>X</v>
      </c>
      <c r="AU46" t="str">
        <f t="shared" si="14"/>
        <v>X</v>
      </c>
      <c r="AV46" t="str">
        <f t="shared" si="13"/>
        <v>X</v>
      </c>
      <c r="AW46" t="str">
        <f t="shared" si="13"/>
        <v>X</v>
      </c>
      <c r="AX46" t="str">
        <f t="shared" si="13"/>
        <v>X</v>
      </c>
      <c r="AY46" t="str">
        <f t="shared" si="13"/>
        <v>X</v>
      </c>
      <c r="AZ46" t="str">
        <f t="shared" si="13"/>
        <v/>
      </c>
      <c r="BA46" t="str">
        <f t="shared" si="13"/>
        <v/>
      </c>
      <c r="BB46" t="str">
        <f t="shared" si="13"/>
        <v/>
      </c>
    </row>
    <row r="47" spans="1:54" x14ac:dyDescent="0.55000000000000004">
      <c r="A47" s="83"/>
      <c r="B47" s="83"/>
      <c r="C47" s="54">
        <v>11.75</v>
      </c>
      <c r="D47" s="36">
        <f t="shared" si="10"/>
        <v>60</v>
      </c>
      <c r="E47" s="36">
        <f t="shared" si="10"/>
        <v>40</v>
      </c>
      <c r="F47" s="36">
        <f t="shared" si="10"/>
        <v>40</v>
      </c>
      <c r="G47" s="36">
        <f t="shared" si="10"/>
        <v>30</v>
      </c>
      <c r="H47" s="36">
        <f t="shared" si="10"/>
        <v>30</v>
      </c>
      <c r="I47" s="36">
        <f t="shared" si="10"/>
        <v>20</v>
      </c>
      <c r="J47" s="36">
        <f t="shared" si="10"/>
        <v>10</v>
      </c>
      <c r="K47" s="36">
        <f t="shared" si="10"/>
        <v>10</v>
      </c>
      <c r="L47" s="36">
        <f t="shared" si="10"/>
        <v>10</v>
      </c>
      <c r="M47" s="36">
        <f t="shared" si="10"/>
        <v>10</v>
      </c>
      <c r="N47" s="36">
        <f t="shared" si="10"/>
        <v>10</v>
      </c>
      <c r="O47" s="36">
        <f t="shared" si="10"/>
        <v>10</v>
      </c>
      <c r="P47" s="36">
        <f t="shared" si="10"/>
        <v>10</v>
      </c>
      <c r="Q47" s="36">
        <f t="shared" si="10"/>
        <v>10</v>
      </c>
      <c r="R47" s="36">
        <f t="shared" si="10"/>
        <v>10</v>
      </c>
      <c r="S47" s="36">
        <f t="shared" si="10"/>
        <v>10</v>
      </c>
      <c r="T47" s="36">
        <f>IF($C47&gt;=(4*T$82),((ROUNDUP((IF(((T$6*$C47+2*T$7)*(ROUNDDOWN($AC$2/T$2,0)*ROUNDDOWN($AC$3/T$3,0)*ROUNDDOWN($AC$4/($C47*25.4),0)))&lt;=20,((ROUNDDOWN($AC$2/T$2,0))*(ROUNDDOWN($AC$3/T$3,0))*(ROUNDDOWN($AC$4/($C47*25.4),0))),20/(T$6*$C47+2*T$7)))/10,0))*10),"-")</f>
        <v>10</v>
      </c>
      <c r="U47" s="36">
        <v>1</v>
      </c>
      <c r="V47" s="36" t="str">
        <f t="shared" si="12"/>
        <v>-</v>
      </c>
      <c r="W47" s="36" t="str">
        <f t="shared" si="12"/>
        <v>-</v>
      </c>
      <c r="X47" s="36" t="str">
        <f t="shared" si="5"/>
        <v>-</v>
      </c>
      <c r="Y47" s="36" t="str">
        <f t="shared" si="5"/>
        <v>-</v>
      </c>
      <c r="Z47" s="36" t="str">
        <f t="shared" si="5"/>
        <v>-</v>
      </c>
      <c r="AE47" s="54">
        <v>13.25</v>
      </c>
      <c r="AF47" t="str">
        <f t="shared" si="14"/>
        <v>X</v>
      </c>
      <c r="AG47" t="str">
        <f t="shared" si="14"/>
        <v>X</v>
      </c>
      <c r="AH47" t="str">
        <f t="shared" si="14"/>
        <v>X</v>
      </c>
      <c r="AI47" t="str">
        <f t="shared" si="14"/>
        <v>X</v>
      </c>
      <c r="AJ47" t="str">
        <f t="shared" si="14"/>
        <v>X</v>
      </c>
      <c r="AK47" t="str">
        <f t="shared" si="14"/>
        <v>X</v>
      </c>
      <c r="AL47" t="str">
        <f t="shared" si="14"/>
        <v>X</v>
      </c>
      <c r="AM47" t="str">
        <f t="shared" si="14"/>
        <v>X</v>
      </c>
      <c r="AN47" t="str">
        <f t="shared" si="14"/>
        <v>X</v>
      </c>
      <c r="AO47" t="str">
        <f t="shared" si="14"/>
        <v>X</v>
      </c>
      <c r="AP47" t="str">
        <f t="shared" si="14"/>
        <v>X</v>
      </c>
      <c r="AQ47" t="str">
        <f t="shared" si="14"/>
        <v>X</v>
      </c>
      <c r="AR47" t="str">
        <f t="shared" si="14"/>
        <v>X</v>
      </c>
      <c r="AS47" t="str">
        <f t="shared" si="14"/>
        <v>X</v>
      </c>
      <c r="AT47" t="str">
        <f t="shared" si="14"/>
        <v>X</v>
      </c>
      <c r="AU47" t="str">
        <f t="shared" si="14"/>
        <v>X</v>
      </c>
      <c r="AV47" t="str">
        <f t="shared" si="13"/>
        <v>X</v>
      </c>
      <c r="AW47" t="str">
        <f t="shared" si="13"/>
        <v>X</v>
      </c>
      <c r="AX47" t="str">
        <f t="shared" si="13"/>
        <v>X</v>
      </c>
      <c r="AY47" t="str">
        <f t="shared" si="13"/>
        <v>X</v>
      </c>
      <c r="AZ47" t="str">
        <f t="shared" si="13"/>
        <v/>
      </c>
      <c r="BA47" t="str">
        <f t="shared" si="13"/>
        <v/>
      </c>
      <c r="BB47" t="str">
        <f t="shared" si="13"/>
        <v/>
      </c>
    </row>
    <row r="48" spans="1:54" x14ac:dyDescent="0.55000000000000004">
      <c r="A48" s="83"/>
      <c r="B48" s="83"/>
      <c r="C48" s="54">
        <v>12</v>
      </c>
      <c r="D48" s="36">
        <v>1</v>
      </c>
      <c r="E48" s="36">
        <v>1</v>
      </c>
      <c r="F48" s="36">
        <v>1</v>
      </c>
      <c r="G48" s="36">
        <v>1</v>
      </c>
      <c r="H48" s="36">
        <v>1</v>
      </c>
      <c r="I48" s="36">
        <v>1</v>
      </c>
      <c r="J48" s="36">
        <v>1</v>
      </c>
      <c r="K48" s="36">
        <v>1</v>
      </c>
      <c r="L48" s="36">
        <v>1</v>
      </c>
      <c r="M48" s="36">
        <v>1</v>
      </c>
      <c r="N48" s="36">
        <v>1</v>
      </c>
      <c r="O48" s="36">
        <v>1</v>
      </c>
      <c r="P48" s="36">
        <v>1</v>
      </c>
      <c r="Q48" s="36">
        <v>1</v>
      </c>
      <c r="R48" s="36">
        <v>1</v>
      </c>
      <c r="S48" s="36">
        <v>1</v>
      </c>
      <c r="T48" s="36">
        <v>1</v>
      </c>
      <c r="U48" s="36">
        <v>1</v>
      </c>
      <c r="V48" s="36">
        <v>1</v>
      </c>
      <c r="W48" s="36" t="str">
        <f>IF($C48&gt;=(4*W$82),((ROUNDUP((IF(((W$6*$C48+2*W$7)*(ROUNDDOWN($AC$2/W$2,0)*ROUNDDOWN($AC$3/W$3,0)*ROUNDDOWN($AC$4/($C48*25.4),0)))&lt;=20,((ROUNDDOWN($AC$2/W$2,0))*(ROUNDDOWN($AC$3/W$3,0))*(ROUNDDOWN($AC$4/($C48*25.4),0))),20/(W$6*$C48+2*W$7)))/10,0))*10),"-")</f>
        <v>-</v>
      </c>
      <c r="X48" s="36" t="str">
        <f t="shared" si="5"/>
        <v>-</v>
      </c>
      <c r="Y48" s="36" t="str">
        <f t="shared" si="5"/>
        <v>-</v>
      </c>
      <c r="Z48" s="36" t="str">
        <f t="shared" si="5"/>
        <v>-</v>
      </c>
      <c r="AE48" s="54">
        <v>13.5</v>
      </c>
      <c r="AF48" t="str">
        <f t="shared" si="14"/>
        <v>X</v>
      </c>
      <c r="AG48" t="str">
        <f t="shared" si="14"/>
        <v>X</v>
      </c>
      <c r="AH48" t="str">
        <f t="shared" si="14"/>
        <v>X</v>
      </c>
      <c r="AI48" t="str">
        <f t="shared" si="14"/>
        <v>X</v>
      </c>
      <c r="AJ48" t="str">
        <f t="shared" si="14"/>
        <v>X</v>
      </c>
      <c r="AK48" t="str">
        <f t="shared" si="14"/>
        <v>X</v>
      </c>
      <c r="AL48" t="str">
        <f t="shared" si="14"/>
        <v>X</v>
      </c>
      <c r="AM48" t="str">
        <f t="shared" si="14"/>
        <v>X</v>
      </c>
      <c r="AN48" t="str">
        <f t="shared" si="14"/>
        <v>X</v>
      </c>
      <c r="AO48" t="str">
        <f t="shared" si="14"/>
        <v>X</v>
      </c>
      <c r="AP48" t="str">
        <f t="shared" si="14"/>
        <v>X</v>
      </c>
      <c r="AQ48" t="str">
        <f t="shared" si="14"/>
        <v>X</v>
      </c>
      <c r="AR48" t="str">
        <f t="shared" si="14"/>
        <v>X</v>
      </c>
      <c r="AS48" t="str">
        <f t="shared" si="14"/>
        <v>X</v>
      </c>
      <c r="AT48" t="str">
        <f t="shared" si="14"/>
        <v>X</v>
      </c>
      <c r="AU48" t="str">
        <f t="shared" si="14"/>
        <v>X</v>
      </c>
      <c r="AV48" t="str">
        <f t="shared" si="13"/>
        <v>X</v>
      </c>
      <c r="AW48" t="str">
        <f t="shared" si="13"/>
        <v>X</v>
      </c>
      <c r="AX48" t="str">
        <f t="shared" si="13"/>
        <v>X</v>
      </c>
      <c r="AY48" t="str">
        <f t="shared" si="13"/>
        <v>X</v>
      </c>
      <c r="AZ48" t="str">
        <f t="shared" si="13"/>
        <v/>
      </c>
      <c r="BA48" t="str">
        <f t="shared" si="13"/>
        <v/>
      </c>
      <c r="BB48" t="str">
        <f t="shared" si="13"/>
        <v/>
      </c>
    </row>
    <row r="49" spans="1:54" x14ac:dyDescent="0.55000000000000004">
      <c r="A49" s="83"/>
      <c r="B49" s="83"/>
      <c r="C49" s="54">
        <v>12.25</v>
      </c>
      <c r="D49" s="36">
        <v>1</v>
      </c>
      <c r="E49" s="36">
        <v>1</v>
      </c>
      <c r="F49" s="36">
        <v>1</v>
      </c>
      <c r="G49" s="36">
        <v>1</v>
      </c>
      <c r="H49" s="36">
        <v>1</v>
      </c>
      <c r="I49" s="36">
        <v>1</v>
      </c>
      <c r="J49" s="36">
        <v>1</v>
      </c>
      <c r="K49" s="36">
        <v>1</v>
      </c>
      <c r="L49" s="36">
        <v>1</v>
      </c>
      <c r="M49" s="36">
        <v>1</v>
      </c>
      <c r="N49" s="36">
        <v>1</v>
      </c>
      <c r="O49" s="36">
        <v>1</v>
      </c>
      <c r="P49" s="36">
        <v>1</v>
      </c>
      <c r="Q49" s="36">
        <v>1</v>
      </c>
      <c r="R49" s="36">
        <v>1</v>
      </c>
      <c r="S49" s="36">
        <v>1</v>
      </c>
      <c r="T49" s="36">
        <v>1</v>
      </c>
      <c r="U49" s="36">
        <v>1</v>
      </c>
      <c r="V49" s="36">
        <v>1</v>
      </c>
      <c r="W49" s="36" t="str">
        <f>IF($C49&gt;=(4*W$82),((ROUNDUP((IF(((W$6*$C49+2*W$7)*(ROUNDDOWN($AC$2/W$2,0)*ROUNDDOWN($AC$3/W$3,0)*ROUNDDOWN($AC$4/($C49*25.4),0)))&lt;=20,((ROUNDDOWN($AC$2/W$2,0))*(ROUNDDOWN($AC$3/W$3,0))*(ROUNDDOWN($AC$4/($C49*25.4),0))),20/(W$6*$C49+2*W$7)))/10,0))*10),"-")</f>
        <v>-</v>
      </c>
      <c r="X49" s="36" t="str">
        <f t="shared" si="5"/>
        <v>-</v>
      </c>
      <c r="Y49" s="36" t="str">
        <f t="shared" si="5"/>
        <v>-</v>
      </c>
      <c r="Z49" s="36" t="str">
        <f t="shared" si="5"/>
        <v>-</v>
      </c>
      <c r="AE49" s="54">
        <v>13.75</v>
      </c>
      <c r="AF49" t="str">
        <f t="shared" si="14"/>
        <v>X</v>
      </c>
      <c r="AG49" t="str">
        <f t="shared" si="14"/>
        <v>X</v>
      </c>
      <c r="AH49" t="str">
        <f t="shared" si="14"/>
        <v>X</v>
      </c>
      <c r="AI49" t="str">
        <f t="shared" si="14"/>
        <v>X</v>
      </c>
      <c r="AJ49" t="str">
        <f t="shared" si="14"/>
        <v>X</v>
      </c>
      <c r="AK49" t="str">
        <f t="shared" si="14"/>
        <v>X</v>
      </c>
      <c r="AL49" t="str">
        <f t="shared" si="14"/>
        <v>X</v>
      </c>
      <c r="AM49" t="str">
        <f t="shared" si="14"/>
        <v>X</v>
      </c>
      <c r="AN49" t="str">
        <f t="shared" si="14"/>
        <v>X</v>
      </c>
      <c r="AO49" t="str">
        <f t="shared" si="14"/>
        <v>X</v>
      </c>
      <c r="AP49" t="str">
        <f t="shared" si="14"/>
        <v>X</v>
      </c>
      <c r="AQ49" t="str">
        <f t="shared" si="14"/>
        <v>X</v>
      </c>
      <c r="AR49" t="str">
        <f t="shared" si="14"/>
        <v>X</v>
      </c>
      <c r="AS49" t="str">
        <f t="shared" si="14"/>
        <v>X</v>
      </c>
      <c r="AT49" t="str">
        <f t="shared" si="14"/>
        <v>X</v>
      </c>
      <c r="AU49" t="str">
        <f t="shared" si="14"/>
        <v>X</v>
      </c>
      <c r="AV49" t="str">
        <f t="shared" si="13"/>
        <v>X</v>
      </c>
      <c r="AW49" t="str">
        <f t="shared" si="13"/>
        <v>X</v>
      </c>
      <c r="AX49" t="str">
        <f t="shared" si="13"/>
        <v>X</v>
      </c>
      <c r="AY49" t="str">
        <f t="shared" si="13"/>
        <v>X</v>
      </c>
      <c r="AZ49" t="str">
        <f t="shared" si="13"/>
        <v/>
      </c>
      <c r="BA49" t="str">
        <f t="shared" si="13"/>
        <v/>
      </c>
      <c r="BB49" t="str">
        <f t="shared" si="13"/>
        <v/>
      </c>
    </row>
    <row r="50" spans="1:54" x14ac:dyDescent="0.55000000000000004">
      <c r="A50" s="83"/>
      <c r="B50" s="83"/>
      <c r="C50" s="54">
        <v>12.5</v>
      </c>
      <c r="D50" s="36">
        <v>1</v>
      </c>
      <c r="E50" s="36">
        <v>1</v>
      </c>
      <c r="F50" s="36">
        <v>1</v>
      </c>
      <c r="G50" s="36">
        <v>1</v>
      </c>
      <c r="H50" s="36">
        <v>1</v>
      </c>
      <c r="I50" s="36">
        <v>1</v>
      </c>
      <c r="J50" s="36">
        <v>1</v>
      </c>
      <c r="K50" s="36">
        <v>1</v>
      </c>
      <c r="L50" s="36">
        <v>1</v>
      </c>
      <c r="M50" s="36">
        <v>1</v>
      </c>
      <c r="N50" s="36">
        <v>1</v>
      </c>
      <c r="O50" s="36">
        <v>1</v>
      </c>
      <c r="P50" s="36">
        <v>1</v>
      </c>
      <c r="Q50" s="36">
        <v>1</v>
      </c>
      <c r="R50" s="36">
        <v>1</v>
      </c>
      <c r="S50" s="36">
        <v>1</v>
      </c>
      <c r="T50" s="36">
        <v>1</v>
      </c>
      <c r="U50" s="36">
        <v>1</v>
      </c>
      <c r="V50" s="36">
        <v>1</v>
      </c>
      <c r="W50" s="36" t="str">
        <f>IF($C50&gt;=(4*W$82),((ROUNDUP((IF(((W$6*$C50+2*W$7)*(ROUNDDOWN($AC$2/W$2,0)*ROUNDDOWN($AC$3/W$3,0)*ROUNDDOWN($AC$4/($C50*25.4),0)))&lt;=20,((ROUNDDOWN($AC$2/W$2,0))*(ROUNDDOWN($AC$3/W$3,0))*(ROUNDDOWN($AC$4/($C50*25.4),0))),20/(W$6*$C50+2*W$7)))/10,0))*10),"-")</f>
        <v>-</v>
      </c>
      <c r="X50" s="36" t="str">
        <f t="shared" si="5"/>
        <v>-</v>
      </c>
      <c r="Y50" s="36" t="str">
        <f t="shared" si="5"/>
        <v>-</v>
      </c>
      <c r="Z50" s="36" t="str">
        <f t="shared" si="5"/>
        <v>-</v>
      </c>
      <c r="AE50" s="54">
        <v>14</v>
      </c>
      <c r="AF50" t="str">
        <f t="shared" si="14"/>
        <v>X</v>
      </c>
      <c r="AG50" t="str">
        <f t="shared" si="14"/>
        <v>X</v>
      </c>
      <c r="AH50" t="str">
        <f t="shared" si="14"/>
        <v>X</v>
      </c>
      <c r="AI50" t="str">
        <f t="shared" si="14"/>
        <v>X</v>
      </c>
      <c r="AJ50" t="str">
        <f t="shared" si="14"/>
        <v>X</v>
      </c>
      <c r="AK50" t="str">
        <f t="shared" si="14"/>
        <v>X</v>
      </c>
      <c r="AL50" t="str">
        <f t="shared" si="14"/>
        <v>X</v>
      </c>
      <c r="AM50" t="str">
        <f t="shared" si="14"/>
        <v>X</v>
      </c>
      <c r="AN50" t="str">
        <f t="shared" si="14"/>
        <v>X</v>
      </c>
      <c r="AO50" t="str">
        <f t="shared" si="14"/>
        <v>X</v>
      </c>
      <c r="AP50" t="str">
        <f t="shared" si="14"/>
        <v>X</v>
      </c>
      <c r="AQ50" t="str">
        <f t="shared" si="14"/>
        <v>X</v>
      </c>
      <c r="AR50" t="str">
        <f t="shared" si="14"/>
        <v>X</v>
      </c>
      <c r="AS50" t="str">
        <f t="shared" si="14"/>
        <v>X</v>
      </c>
      <c r="AT50" t="str">
        <f t="shared" si="14"/>
        <v>X</v>
      </c>
      <c r="AU50" t="str">
        <f t="shared" si="14"/>
        <v>X</v>
      </c>
      <c r="AV50" t="str">
        <f t="shared" si="13"/>
        <v>X</v>
      </c>
      <c r="AW50" t="str">
        <f t="shared" si="13"/>
        <v>X</v>
      </c>
      <c r="AX50" t="str">
        <f t="shared" si="13"/>
        <v>X</v>
      </c>
      <c r="AY50" t="str">
        <f t="shared" si="13"/>
        <v>X</v>
      </c>
      <c r="AZ50" t="str">
        <f t="shared" si="13"/>
        <v>X</v>
      </c>
      <c r="BA50" t="str">
        <f t="shared" si="13"/>
        <v/>
      </c>
      <c r="BB50" t="str">
        <f t="shared" si="13"/>
        <v/>
      </c>
    </row>
    <row r="51" spans="1:54" x14ac:dyDescent="0.55000000000000004">
      <c r="A51" s="83"/>
      <c r="B51" s="83"/>
      <c r="C51" s="54">
        <v>12.75</v>
      </c>
      <c r="D51" s="36">
        <v>1</v>
      </c>
      <c r="E51" s="36">
        <v>1</v>
      </c>
      <c r="F51" s="36">
        <v>1</v>
      </c>
      <c r="G51" s="36">
        <v>1</v>
      </c>
      <c r="H51" s="36">
        <v>1</v>
      </c>
      <c r="I51" s="36">
        <v>1</v>
      </c>
      <c r="J51" s="36">
        <v>1</v>
      </c>
      <c r="K51" s="36">
        <v>1</v>
      </c>
      <c r="L51" s="36">
        <v>1</v>
      </c>
      <c r="M51" s="36">
        <v>1</v>
      </c>
      <c r="N51" s="36">
        <v>1</v>
      </c>
      <c r="O51" s="36">
        <v>1</v>
      </c>
      <c r="P51" s="36">
        <v>1</v>
      </c>
      <c r="Q51" s="36">
        <v>1</v>
      </c>
      <c r="R51" s="36">
        <v>1</v>
      </c>
      <c r="S51" s="36">
        <v>1</v>
      </c>
      <c r="T51" s="36">
        <v>1</v>
      </c>
      <c r="U51" s="36">
        <v>1</v>
      </c>
      <c r="V51" s="36">
        <v>1</v>
      </c>
      <c r="W51" s="36" t="str">
        <f t="shared" ref="W51:Z63" si="15">IF($C51&gt;=(4*W$82),((ROUNDUP((IF(((W$6*$C51+2*W$7)*(ROUNDDOWN($AC$2/W$2,0)*ROUNDDOWN($AC$3/W$3,0)*ROUNDDOWN($AC$4/($C51*25.4),0)))&lt;=20,((ROUNDDOWN($AC$2/W$2,0))*(ROUNDDOWN($AC$3/W$3,0))*(ROUNDDOWN($AC$4/($C51*25.4),0))),20/(W$6*$C51+2*W$7)))/10,0))*10),"-")</f>
        <v>-</v>
      </c>
      <c r="X51" s="36" t="str">
        <f t="shared" si="15"/>
        <v>-</v>
      </c>
      <c r="Y51" s="36" t="str">
        <f t="shared" si="15"/>
        <v>-</v>
      </c>
      <c r="Z51" s="36" t="str">
        <f t="shared" si="15"/>
        <v>-</v>
      </c>
      <c r="AE51" s="54">
        <v>14.25</v>
      </c>
      <c r="AF51" t="str">
        <f t="shared" si="14"/>
        <v>X</v>
      </c>
      <c r="AG51" t="str">
        <f t="shared" si="14"/>
        <v>X</v>
      </c>
      <c r="AH51" t="str">
        <f t="shared" si="14"/>
        <v>X</v>
      </c>
      <c r="AI51" t="str">
        <f t="shared" si="14"/>
        <v>X</v>
      </c>
      <c r="AJ51" t="str">
        <f t="shared" si="14"/>
        <v>X</v>
      </c>
      <c r="AK51" t="str">
        <f t="shared" si="14"/>
        <v>X</v>
      </c>
      <c r="AL51" t="str">
        <f t="shared" si="14"/>
        <v>X</v>
      </c>
      <c r="AM51" t="str">
        <f t="shared" si="14"/>
        <v>X</v>
      </c>
      <c r="AN51" t="str">
        <f t="shared" si="14"/>
        <v>X</v>
      </c>
      <c r="AO51" t="str">
        <f t="shared" si="14"/>
        <v>X</v>
      </c>
      <c r="AP51" t="str">
        <f t="shared" si="14"/>
        <v>X</v>
      </c>
      <c r="AQ51" t="str">
        <f t="shared" si="14"/>
        <v>X</v>
      </c>
      <c r="AR51" t="str">
        <f t="shared" si="14"/>
        <v>X</v>
      </c>
      <c r="AS51" t="str">
        <f t="shared" si="14"/>
        <v>X</v>
      </c>
      <c r="AT51" t="str">
        <f t="shared" si="14"/>
        <v>X</v>
      </c>
      <c r="AU51" t="str">
        <f t="shared" si="14"/>
        <v>X</v>
      </c>
      <c r="AV51" t="str">
        <f t="shared" si="13"/>
        <v>X</v>
      </c>
      <c r="AW51" t="str">
        <f t="shared" si="13"/>
        <v>X</v>
      </c>
      <c r="AX51" t="str">
        <f t="shared" si="13"/>
        <v>X</v>
      </c>
      <c r="AY51" t="str">
        <f t="shared" si="13"/>
        <v>X</v>
      </c>
      <c r="AZ51" t="str">
        <f t="shared" si="13"/>
        <v>X</v>
      </c>
      <c r="BA51" t="str">
        <f t="shared" si="13"/>
        <v/>
      </c>
      <c r="BB51" t="str">
        <f t="shared" si="13"/>
        <v/>
      </c>
    </row>
    <row r="52" spans="1:54" x14ac:dyDescent="0.55000000000000004">
      <c r="A52" s="83"/>
      <c r="B52" s="83"/>
      <c r="C52" s="54">
        <v>13</v>
      </c>
      <c r="D52" s="36">
        <v>1</v>
      </c>
      <c r="E52" s="36">
        <v>1</v>
      </c>
      <c r="F52" s="36">
        <v>1</v>
      </c>
      <c r="G52" s="36">
        <v>1</v>
      </c>
      <c r="H52" s="36">
        <v>1</v>
      </c>
      <c r="I52" s="36">
        <v>1</v>
      </c>
      <c r="J52" s="36">
        <v>1</v>
      </c>
      <c r="K52" s="36">
        <v>1</v>
      </c>
      <c r="L52" s="36">
        <v>1</v>
      </c>
      <c r="M52" s="36">
        <v>1</v>
      </c>
      <c r="N52" s="36">
        <v>1</v>
      </c>
      <c r="O52" s="36">
        <v>1</v>
      </c>
      <c r="P52" s="36">
        <v>1</v>
      </c>
      <c r="Q52" s="36">
        <v>1</v>
      </c>
      <c r="R52" s="36">
        <v>1</v>
      </c>
      <c r="S52" s="36">
        <v>1</v>
      </c>
      <c r="T52" s="36">
        <v>1</v>
      </c>
      <c r="U52" s="36">
        <v>1</v>
      </c>
      <c r="V52" s="36">
        <v>1</v>
      </c>
      <c r="W52" s="36">
        <v>1</v>
      </c>
      <c r="X52" s="36" t="str">
        <f t="shared" si="15"/>
        <v>-</v>
      </c>
      <c r="Y52" s="36" t="str">
        <f t="shared" si="15"/>
        <v>-</v>
      </c>
      <c r="Z52" s="36" t="str">
        <f t="shared" si="15"/>
        <v>-</v>
      </c>
      <c r="AE52" s="54">
        <v>14.5</v>
      </c>
      <c r="AF52" t="str">
        <f t="shared" si="14"/>
        <v>X</v>
      </c>
      <c r="AG52" t="str">
        <f t="shared" si="14"/>
        <v>X</v>
      </c>
      <c r="AH52" t="str">
        <f t="shared" si="14"/>
        <v>X</v>
      </c>
      <c r="AI52" t="str">
        <f t="shared" si="14"/>
        <v>X</v>
      </c>
      <c r="AJ52" t="str">
        <f t="shared" si="14"/>
        <v>X</v>
      </c>
      <c r="AK52" t="str">
        <f t="shared" si="14"/>
        <v>X</v>
      </c>
      <c r="AL52" t="str">
        <f t="shared" si="14"/>
        <v>X</v>
      </c>
      <c r="AM52" t="str">
        <f t="shared" si="14"/>
        <v>X</v>
      </c>
      <c r="AN52" t="str">
        <f t="shared" si="14"/>
        <v>X</v>
      </c>
      <c r="AO52" t="str">
        <f t="shared" si="14"/>
        <v>X</v>
      </c>
      <c r="AP52" t="str">
        <f t="shared" si="14"/>
        <v>X</v>
      </c>
      <c r="AQ52" t="str">
        <f t="shared" si="14"/>
        <v>X</v>
      </c>
      <c r="AR52" t="str">
        <f t="shared" si="14"/>
        <v>X</v>
      </c>
      <c r="AS52" t="str">
        <f t="shared" si="14"/>
        <v>X</v>
      </c>
      <c r="AT52" t="str">
        <f t="shared" si="14"/>
        <v>X</v>
      </c>
      <c r="AU52" t="str">
        <f t="shared" si="14"/>
        <v>X</v>
      </c>
      <c r="AV52" t="str">
        <f t="shared" si="13"/>
        <v>X</v>
      </c>
      <c r="AW52" t="str">
        <f t="shared" si="13"/>
        <v>X</v>
      </c>
      <c r="AX52" t="str">
        <f t="shared" si="13"/>
        <v>X</v>
      </c>
      <c r="AY52" t="str">
        <f t="shared" si="13"/>
        <v>X</v>
      </c>
      <c r="AZ52" t="str">
        <f t="shared" si="13"/>
        <v>X</v>
      </c>
      <c r="BA52" t="str">
        <f t="shared" si="13"/>
        <v/>
      </c>
      <c r="BB52" t="str">
        <f t="shared" si="13"/>
        <v/>
      </c>
    </row>
    <row r="53" spans="1:54" x14ac:dyDescent="0.55000000000000004">
      <c r="A53" s="83"/>
      <c r="B53" s="83"/>
      <c r="C53" s="54">
        <v>13.25</v>
      </c>
      <c r="D53" s="36">
        <v>1</v>
      </c>
      <c r="E53" s="36">
        <v>1</v>
      </c>
      <c r="F53" s="36">
        <v>1</v>
      </c>
      <c r="G53" s="36">
        <v>1</v>
      </c>
      <c r="H53" s="36">
        <v>1</v>
      </c>
      <c r="I53" s="36">
        <v>1</v>
      </c>
      <c r="J53" s="36">
        <v>1</v>
      </c>
      <c r="K53" s="36">
        <v>1</v>
      </c>
      <c r="L53" s="36">
        <v>1</v>
      </c>
      <c r="M53" s="36">
        <v>1</v>
      </c>
      <c r="N53" s="36">
        <v>1</v>
      </c>
      <c r="O53" s="36">
        <v>1</v>
      </c>
      <c r="P53" s="36">
        <v>1</v>
      </c>
      <c r="Q53" s="36">
        <v>1</v>
      </c>
      <c r="R53" s="36">
        <v>1</v>
      </c>
      <c r="S53" s="36">
        <v>1</v>
      </c>
      <c r="T53" s="36">
        <v>1</v>
      </c>
      <c r="U53" s="36">
        <v>1</v>
      </c>
      <c r="V53" s="36">
        <v>1</v>
      </c>
      <c r="W53" s="36">
        <v>1</v>
      </c>
      <c r="X53" s="36" t="str">
        <f t="shared" si="15"/>
        <v>-</v>
      </c>
      <c r="Y53" s="36" t="str">
        <f t="shared" si="15"/>
        <v>-</v>
      </c>
      <c r="Z53" s="36" t="str">
        <f t="shared" si="15"/>
        <v>-</v>
      </c>
      <c r="AE53" s="54">
        <v>14.75</v>
      </c>
      <c r="AF53" t="str">
        <f t="shared" si="14"/>
        <v>X</v>
      </c>
      <c r="AG53" t="str">
        <f t="shared" si="14"/>
        <v>X</v>
      </c>
      <c r="AH53" t="str">
        <f t="shared" si="14"/>
        <v>X</v>
      </c>
      <c r="AI53" t="str">
        <f t="shared" si="14"/>
        <v>X</v>
      </c>
      <c r="AJ53" t="str">
        <f t="shared" si="14"/>
        <v>X</v>
      </c>
      <c r="AK53" t="str">
        <f t="shared" si="14"/>
        <v>X</v>
      </c>
      <c r="AL53" t="str">
        <f t="shared" si="14"/>
        <v>X</v>
      </c>
      <c r="AM53" t="str">
        <f t="shared" si="14"/>
        <v>X</v>
      </c>
      <c r="AN53" t="str">
        <f t="shared" si="14"/>
        <v>X</v>
      </c>
      <c r="AO53" t="str">
        <f t="shared" si="14"/>
        <v>X</v>
      </c>
      <c r="AP53" t="str">
        <f t="shared" si="14"/>
        <v>X</v>
      </c>
      <c r="AQ53" t="str">
        <f t="shared" si="14"/>
        <v>X</v>
      </c>
      <c r="AR53" t="str">
        <f t="shared" si="14"/>
        <v>X</v>
      </c>
      <c r="AS53" t="str">
        <f t="shared" si="14"/>
        <v>X</v>
      </c>
      <c r="AT53" t="str">
        <f t="shared" si="14"/>
        <v>X</v>
      </c>
      <c r="AU53" t="str">
        <f t="shared" si="14"/>
        <v>X</v>
      </c>
      <c r="AV53" t="str">
        <f t="shared" si="13"/>
        <v>X</v>
      </c>
      <c r="AW53" t="str">
        <f t="shared" si="13"/>
        <v>X</v>
      </c>
      <c r="AX53" t="str">
        <f t="shared" si="13"/>
        <v>X</v>
      </c>
      <c r="AY53" t="str">
        <f t="shared" si="13"/>
        <v>X</v>
      </c>
      <c r="AZ53" t="str">
        <f t="shared" si="13"/>
        <v>X</v>
      </c>
      <c r="BA53" t="str">
        <f t="shared" si="13"/>
        <v/>
      </c>
      <c r="BB53" t="str">
        <f t="shared" si="13"/>
        <v/>
      </c>
    </row>
    <row r="54" spans="1:54" x14ac:dyDescent="0.55000000000000004">
      <c r="A54" s="83"/>
      <c r="B54" s="83"/>
      <c r="C54" s="54">
        <v>13.5</v>
      </c>
      <c r="D54" s="36">
        <v>1</v>
      </c>
      <c r="E54" s="36">
        <v>1</v>
      </c>
      <c r="F54" s="36">
        <v>1</v>
      </c>
      <c r="G54" s="36">
        <v>1</v>
      </c>
      <c r="H54" s="36">
        <v>1</v>
      </c>
      <c r="I54" s="36">
        <v>1</v>
      </c>
      <c r="J54" s="36">
        <v>1</v>
      </c>
      <c r="K54" s="36">
        <v>1</v>
      </c>
      <c r="L54" s="36">
        <v>1</v>
      </c>
      <c r="M54" s="36">
        <v>1</v>
      </c>
      <c r="N54" s="36">
        <v>1</v>
      </c>
      <c r="O54" s="36">
        <v>1</v>
      </c>
      <c r="P54" s="36">
        <v>1</v>
      </c>
      <c r="Q54" s="36">
        <v>1</v>
      </c>
      <c r="R54" s="36">
        <v>1</v>
      </c>
      <c r="S54" s="36">
        <v>1</v>
      </c>
      <c r="T54" s="36">
        <v>1</v>
      </c>
      <c r="U54" s="36">
        <v>1</v>
      </c>
      <c r="V54" s="36">
        <v>1</v>
      </c>
      <c r="W54" s="36">
        <v>1</v>
      </c>
      <c r="X54" s="36" t="str">
        <f t="shared" si="15"/>
        <v>-</v>
      </c>
      <c r="Y54" s="36" t="str">
        <f t="shared" si="15"/>
        <v>-</v>
      </c>
      <c r="Z54" s="36" t="str">
        <f t="shared" si="15"/>
        <v>-</v>
      </c>
      <c r="AE54" s="54">
        <v>15</v>
      </c>
      <c r="AF54" t="str">
        <f t="shared" si="14"/>
        <v>X</v>
      </c>
      <c r="AG54" t="str">
        <f t="shared" si="14"/>
        <v>X</v>
      </c>
      <c r="AH54" t="str">
        <f t="shared" si="14"/>
        <v>X</v>
      </c>
      <c r="AI54" t="str">
        <f t="shared" si="14"/>
        <v>X</v>
      </c>
      <c r="AJ54" t="str">
        <f t="shared" si="14"/>
        <v>X</v>
      </c>
      <c r="AK54" t="str">
        <f t="shared" si="14"/>
        <v>X</v>
      </c>
      <c r="AL54" t="str">
        <f t="shared" si="14"/>
        <v>X</v>
      </c>
      <c r="AM54" t="str">
        <f t="shared" si="14"/>
        <v>X</v>
      </c>
      <c r="AN54" t="str">
        <f t="shared" si="14"/>
        <v>X</v>
      </c>
      <c r="AO54" t="str">
        <f t="shared" si="14"/>
        <v>X</v>
      </c>
      <c r="AP54" t="str">
        <f t="shared" si="14"/>
        <v>X</v>
      </c>
      <c r="AQ54" t="str">
        <f t="shared" si="14"/>
        <v>X</v>
      </c>
      <c r="AR54" t="str">
        <f t="shared" si="14"/>
        <v>X</v>
      </c>
      <c r="AS54" t="str">
        <f t="shared" si="14"/>
        <v>X</v>
      </c>
      <c r="AT54" t="str">
        <f t="shared" si="14"/>
        <v>X</v>
      </c>
      <c r="AU54" t="str">
        <f t="shared" si="14"/>
        <v>X</v>
      </c>
      <c r="AV54" t="str">
        <f t="shared" si="13"/>
        <v>X</v>
      </c>
      <c r="AW54" t="str">
        <f t="shared" si="13"/>
        <v>X</v>
      </c>
      <c r="AX54" t="str">
        <f t="shared" si="13"/>
        <v>X</v>
      </c>
      <c r="AY54" t="str">
        <f t="shared" si="13"/>
        <v>X</v>
      </c>
      <c r="AZ54" t="str">
        <f t="shared" si="13"/>
        <v>X</v>
      </c>
      <c r="BA54" t="str">
        <f t="shared" si="13"/>
        <v>X</v>
      </c>
      <c r="BB54" t="str">
        <f t="shared" si="13"/>
        <v/>
      </c>
    </row>
    <row r="55" spans="1:54" x14ac:dyDescent="0.55000000000000004">
      <c r="A55" s="83"/>
      <c r="B55" s="83"/>
      <c r="C55" s="54">
        <v>13.75</v>
      </c>
      <c r="D55" s="36">
        <v>1</v>
      </c>
      <c r="E55" s="36">
        <v>1</v>
      </c>
      <c r="F55" s="36">
        <v>1</v>
      </c>
      <c r="G55" s="36">
        <v>1</v>
      </c>
      <c r="H55" s="36">
        <v>1</v>
      </c>
      <c r="I55" s="36">
        <v>1</v>
      </c>
      <c r="J55" s="36">
        <v>1</v>
      </c>
      <c r="K55" s="36">
        <v>1</v>
      </c>
      <c r="L55" s="36">
        <v>1</v>
      </c>
      <c r="M55" s="36">
        <v>1</v>
      </c>
      <c r="N55" s="36">
        <v>1</v>
      </c>
      <c r="O55" s="36">
        <v>1</v>
      </c>
      <c r="P55" s="36">
        <v>1</v>
      </c>
      <c r="Q55" s="36">
        <v>1</v>
      </c>
      <c r="R55" s="36">
        <v>1</v>
      </c>
      <c r="S55" s="36">
        <v>1</v>
      </c>
      <c r="T55" s="36">
        <v>1</v>
      </c>
      <c r="U55" s="36">
        <v>1</v>
      </c>
      <c r="V55" s="36">
        <v>1</v>
      </c>
      <c r="W55" s="36">
        <v>1</v>
      </c>
      <c r="X55" s="36" t="str">
        <f t="shared" si="15"/>
        <v>-</v>
      </c>
      <c r="Y55" s="36" t="str">
        <f t="shared" si="15"/>
        <v>-</v>
      </c>
      <c r="Z55" s="36" t="str">
        <f t="shared" si="15"/>
        <v>-</v>
      </c>
      <c r="AE55" s="54">
        <v>15.25</v>
      </c>
      <c r="AF55" t="str">
        <f t="shared" si="14"/>
        <v>X</v>
      </c>
      <c r="AG55" t="str">
        <f t="shared" si="14"/>
        <v>X</v>
      </c>
      <c r="AH55" t="str">
        <f t="shared" si="14"/>
        <v>X</v>
      </c>
      <c r="AI55" t="str">
        <f t="shared" si="14"/>
        <v>X</v>
      </c>
      <c r="AJ55" t="str">
        <f t="shared" si="14"/>
        <v>X</v>
      </c>
      <c r="AK55" t="str">
        <f t="shared" si="14"/>
        <v>X</v>
      </c>
      <c r="AL55" t="str">
        <f t="shared" si="14"/>
        <v>X</v>
      </c>
      <c r="AM55" t="str">
        <f t="shared" si="14"/>
        <v>X</v>
      </c>
      <c r="AN55" t="str">
        <f t="shared" si="14"/>
        <v>X</v>
      </c>
      <c r="AO55" t="str">
        <f t="shared" si="14"/>
        <v>X</v>
      </c>
      <c r="AP55" t="str">
        <f t="shared" si="14"/>
        <v>X</v>
      </c>
      <c r="AQ55" t="str">
        <f t="shared" si="14"/>
        <v>X</v>
      </c>
      <c r="AR55" t="str">
        <f t="shared" si="14"/>
        <v>X</v>
      </c>
      <c r="AS55" t="str">
        <f t="shared" si="14"/>
        <v>X</v>
      </c>
      <c r="AT55" t="str">
        <f t="shared" si="14"/>
        <v>X</v>
      </c>
      <c r="AU55" t="str">
        <f t="shared" si="14"/>
        <v>X</v>
      </c>
      <c r="AV55" t="str">
        <f t="shared" si="13"/>
        <v>X</v>
      </c>
      <c r="AW55" t="str">
        <f t="shared" si="13"/>
        <v>X</v>
      </c>
      <c r="AX55" t="str">
        <f t="shared" si="13"/>
        <v>X</v>
      </c>
      <c r="AY55" t="str">
        <f t="shared" si="13"/>
        <v>X</v>
      </c>
      <c r="AZ55" t="str">
        <f t="shared" si="13"/>
        <v>X</v>
      </c>
      <c r="BA55" t="str">
        <f t="shared" si="13"/>
        <v>X</v>
      </c>
      <c r="BB55" t="str">
        <f t="shared" si="13"/>
        <v/>
      </c>
    </row>
    <row r="56" spans="1:54" x14ac:dyDescent="0.55000000000000004">
      <c r="A56" s="83"/>
      <c r="B56" s="83"/>
      <c r="C56" s="54">
        <v>14</v>
      </c>
      <c r="D56" s="36">
        <v>1</v>
      </c>
      <c r="E56" s="36">
        <v>1</v>
      </c>
      <c r="F56" s="36">
        <v>1</v>
      </c>
      <c r="G56" s="36">
        <v>1</v>
      </c>
      <c r="H56" s="36">
        <v>1</v>
      </c>
      <c r="I56" s="36">
        <v>1</v>
      </c>
      <c r="J56" s="36">
        <v>1</v>
      </c>
      <c r="K56" s="36">
        <v>1</v>
      </c>
      <c r="L56" s="36">
        <v>1</v>
      </c>
      <c r="M56" s="36">
        <v>1</v>
      </c>
      <c r="N56" s="36">
        <v>1</v>
      </c>
      <c r="O56" s="36">
        <v>1</v>
      </c>
      <c r="P56" s="36">
        <v>1</v>
      </c>
      <c r="Q56" s="36">
        <v>1</v>
      </c>
      <c r="R56" s="36">
        <v>1</v>
      </c>
      <c r="S56" s="36">
        <v>1</v>
      </c>
      <c r="T56" s="36">
        <v>1</v>
      </c>
      <c r="U56" s="36">
        <v>1</v>
      </c>
      <c r="V56" s="36">
        <v>1</v>
      </c>
      <c r="W56" s="36">
        <v>1</v>
      </c>
      <c r="X56" s="36">
        <v>1</v>
      </c>
      <c r="Y56" s="36" t="str">
        <f t="shared" si="15"/>
        <v>-</v>
      </c>
      <c r="Z56" s="36" t="str">
        <f t="shared" si="15"/>
        <v>-</v>
      </c>
      <c r="AE56" s="54">
        <v>15.5</v>
      </c>
      <c r="AF56" t="str">
        <f t="shared" si="14"/>
        <v>X</v>
      </c>
      <c r="AG56" t="str">
        <f t="shared" si="14"/>
        <v>X</v>
      </c>
      <c r="AH56" t="str">
        <f t="shared" si="14"/>
        <v>X</v>
      </c>
      <c r="AI56" t="str">
        <f t="shared" si="14"/>
        <v>X</v>
      </c>
      <c r="AJ56" t="str">
        <f t="shared" si="14"/>
        <v>X</v>
      </c>
      <c r="AK56" t="str">
        <f t="shared" si="14"/>
        <v>X</v>
      </c>
      <c r="AL56" t="str">
        <f t="shared" si="14"/>
        <v>X</v>
      </c>
      <c r="AM56" t="str">
        <f t="shared" si="14"/>
        <v>X</v>
      </c>
      <c r="AN56" t="str">
        <f t="shared" si="14"/>
        <v>X</v>
      </c>
      <c r="AO56" t="str">
        <f t="shared" si="14"/>
        <v>X</v>
      </c>
      <c r="AP56" t="str">
        <f t="shared" si="14"/>
        <v>X</v>
      </c>
      <c r="AQ56" t="str">
        <f t="shared" si="14"/>
        <v>X</v>
      </c>
      <c r="AR56" t="str">
        <f t="shared" si="14"/>
        <v>X</v>
      </c>
      <c r="AS56" t="str">
        <f t="shared" si="14"/>
        <v>X</v>
      </c>
      <c r="AT56" t="str">
        <f t="shared" si="14"/>
        <v>X</v>
      </c>
      <c r="AU56" t="str">
        <f t="shared" si="14"/>
        <v>X</v>
      </c>
      <c r="AV56" t="str">
        <f t="shared" si="13"/>
        <v>X</v>
      </c>
      <c r="AW56" t="str">
        <f t="shared" si="13"/>
        <v>X</v>
      </c>
      <c r="AX56" t="str">
        <f t="shared" si="13"/>
        <v>X</v>
      </c>
      <c r="AY56" t="str">
        <f t="shared" si="13"/>
        <v>X</v>
      </c>
      <c r="AZ56" t="str">
        <f t="shared" si="13"/>
        <v>X</v>
      </c>
      <c r="BA56" t="str">
        <f t="shared" si="13"/>
        <v>X</v>
      </c>
      <c r="BB56" t="str">
        <f t="shared" si="13"/>
        <v/>
      </c>
    </row>
    <row r="57" spans="1:54" x14ac:dyDescent="0.55000000000000004">
      <c r="A57" s="83"/>
      <c r="B57" s="83"/>
      <c r="C57" s="54">
        <v>14.25</v>
      </c>
      <c r="D57" s="36">
        <v>1</v>
      </c>
      <c r="E57" s="36">
        <v>1</v>
      </c>
      <c r="F57" s="36">
        <v>1</v>
      </c>
      <c r="G57" s="36">
        <v>1</v>
      </c>
      <c r="H57" s="36">
        <v>1</v>
      </c>
      <c r="I57" s="36">
        <v>1</v>
      </c>
      <c r="J57" s="36">
        <v>1</v>
      </c>
      <c r="K57" s="36">
        <v>1</v>
      </c>
      <c r="L57" s="36">
        <v>1</v>
      </c>
      <c r="M57" s="36">
        <v>1</v>
      </c>
      <c r="N57" s="36">
        <v>1</v>
      </c>
      <c r="O57" s="36">
        <v>1</v>
      </c>
      <c r="P57" s="36">
        <v>1</v>
      </c>
      <c r="Q57" s="36">
        <v>1</v>
      </c>
      <c r="R57" s="36">
        <v>1</v>
      </c>
      <c r="S57" s="36">
        <v>1</v>
      </c>
      <c r="T57" s="36">
        <v>1</v>
      </c>
      <c r="U57" s="36">
        <v>1</v>
      </c>
      <c r="V57" s="36">
        <v>1</v>
      </c>
      <c r="W57" s="36">
        <v>1</v>
      </c>
      <c r="X57" s="36">
        <v>1</v>
      </c>
      <c r="Y57" s="36" t="str">
        <f t="shared" si="15"/>
        <v>-</v>
      </c>
      <c r="Z57" s="36" t="str">
        <f t="shared" si="15"/>
        <v>-</v>
      </c>
      <c r="AE57" s="54">
        <v>15.75</v>
      </c>
      <c r="AF57" t="str">
        <f t="shared" si="14"/>
        <v>X</v>
      </c>
      <c r="AG57" t="str">
        <f t="shared" si="14"/>
        <v>X</v>
      </c>
      <c r="AH57" t="str">
        <f t="shared" si="14"/>
        <v>X</v>
      </c>
      <c r="AI57" t="str">
        <f t="shared" si="14"/>
        <v>X</v>
      </c>
      <c r="AJ57" t="str">
        <f t="shared" si="14"/>
        <v>X</v>
      </c>
      <c r="AK57" t="str">
        <f t="shared" si="14"/>
        <v>X</v>
      </c>
      <c r="AL57" t="str">
        <f t="shared" si="14"/>
        <v>X</v>
      </c>
      <c r="AM57" t="str">
        <f t="shared" si="14"/>
        <v>X</v>
      </c>
      <c r="AN57" t="str">
        <f t="shared" si="14"/>
        <v>X</v>
      </c>
      <c r="AO57" t="str">
        <f t="shared" si="14"/>
        <v>X</v>
      </c>
      <c r="AP57" t="str">
        <f t="shared" si="14"/>
        <v>X</v>
      </c>
      <c r="AQ57" t="str">
        <f t="shared" si="14"/>
        <v>X</v>
      </c>
      <c r="AR57" t="str">
        <f t="shared" si="14"/>
        <v>X</v>
      </c>
      <c r="AS57" t="str">
        <f t="shared" si="14"/>
        <v>X</v>
      </c>
      <c r="AT57" t="str">
        <f t="shared" si="14"/>
        <v>X</v>
      </c>
      <c r="AU57" t="str">
        <f t="shared" si="14"/>
        <v>X</v>
      </c>
      <c r="AV57" t="str">
        <f t="shared" si="13"/>
        <v>X</v>
      </c>
      <c r="AW57" t="str">
        <f t="shared" si="13"/>
        <v>X</v>
      </c>
      <c r="AX57" t="str">
        <f t="shared" si="13"/>
        <v>X</v>
      </c>
      <c r="AY57" t="str">
        <f t="shared" si="13"/>
        <v>X</v>
      </c>
      <c r="AZ57" t="str">
        <f t="shared" si="13"/>
        <v>X</v>
      </c>
      <c r="BA57" t="str">
        <f t="shared" si="13"/>
        <v>X</v>
      </c>
      <c r="BB57" t="str">
        <f t="shared" si="13"/>
        <v/>
      </c>
    </row>
    <row r="58" spans="1:54" x14ac:dyDescent="0.55000000000000004">
      <c r="A58" s="83"/>
      <c r="B58" s="83"/>
      <c r="C58" s="54">
        <v>14.5</v>
      </c>
      <c r="D58" s="36">
        <v>1</v>
      </c>
      <c r="E58" s="36">
        <v>1</v>
      </c>
      <c r="F58" s="36">
        <v>1</v>
      </c>
      <c r="G58" s="36">
        <v>1</v>
      </c>
      <c r="H58" s="36">
        <v>1</v>
      </c>
      <c r="I58" s="36">
        <v>1</v>
      </c>
      <c r="J58" s="36">
        <v>1</v>
      </c>
      <c r="K58" s="36">
        <v>1</v>
      </c>
      <c r="L58" s="36">
        <v>1</v>
      </c>
      <c r="M58" s="36">
        <v>1</v>
      </c>
      <c r="N58" s="36">
        <v>1</v>
      </c>
      <c r="O58" s="36">
        <v>1</v>
      </c>
      <c r="P58" s="36">
        <v>1</v>
      </c>
      <c r="Q58" s="36">
        <v>1</v>
      </c>
      <c r="R58" s="36">
        <v>1</v>
      </c>
      <c r="S58" s="36">
        <v>1</v>
      </c>
      <c r="T58" s="36">
        <v>1</v>
      </c>
      <c r="U58" s="36">
        <v>1</v>
      </c>
      <c r="V58" s="36">
        <v>1</v>
      </c>
      <c r="W58" s="36">
        <v>1</v>
      </c>
      <c r="X58" s="36">
        <v>1</v>
      </c>
      <c r="Y58" s="36" t="str">
        <f t="shared" si="15"/>
        <v>-</v>
      </c>
      <c r="Z58" s="36" t="str">
        <f t="shared" si="15"/>
        <v>-</v>
      </c>
      <c r="AE58" s="54">
        <v>16</v>
      </c>
      <c r="AF58" t="str">
        <f t="shared" si="14"/>
        <v>X</v>
      </c>
      <c r="AG58" t="str">
        <f t="shared" si="14"/>
        <v>X</v>
      </c>
      <c r="AH58" t="str">
        <f t="shared" si="14"/>
        <v>X</v>
      </c>
      <c r="AI58" t="str">
        <f t="shared" si="14"/>
        <v>X</v>
      </c>
      <c r="AJ58" t="str">
        <f t="shared" si="14"/>
        <v>X</v>
      </c>
      <c r="AK58" t="str">
        <f t="shared" si="14"/>
        <v>X</v>
      </c>
      <c r="AL58" t="str">
        <f t="shared" si="14"/>
        <v>X</v>
      </c>
      <c r="AM58" t="str">
        <f t="shared" si="14"/>
        <v>X</v>
      </c>
      <c r="AN58" t="str">
        <f t="shared" si="14"/>
        <v>X</v>
      </c>
      <c r="AO58" t="str">
        <f t="shared" si="14"/>
        <v>X</v>
      </c>
      <c r="AP58" t="str">
        <f t="shared" si="14"/>
        <v>X</v>
      </c>
      <c r="AQ58" t="str">
        <f t="shared" si="14"/>
        <v>X</v>
      </c>
      <c r="AR58" t="str">
        <f t="shared" si="14"/>
        <v>X</v>
      </c>
      <c r="AS58" t="str">
        <f t="shared" si="14"/>
        <v>X</v>
      </c>
      <c r="AT58" t="str">
        <f t="shared" si="14"/>
        <v>X</v>
      </c>
      <c r="AU58" t="str">
        <f t="shared" si="14"/>
        <v>X</v>
      </c>
      <c r="AV58" t="str">
        <f t="shared" si="13"/>
        <v>X</v>
      </c>
      <c r="AW58" t="str">
        <f t="shared" si="13"/>
        <v>X</v>
      </c>
      <c r="AX58" t="str">
        <f t="shared" si="13"/>
        <v>X</v>
      </c>
      <c r="AY58" t="str">
        <f t="shared" si="13"/>
        <v>X</v>
      </c>
      <c r="AZ58" t="str">
        <f t="shared" si="13"/>
        <v>X</v>
      </c>
      <c r="BA58" t="str">
        <f t="shared" si="13"/>
        <v>X</v>
      </c>
      <c r="BB58" t="str">
        <f t="shared" si="13"/>
        <v>X</v>
      </c>
    </row>
    <row r="59" spans="1:54" x14ac:dyDescent="0.55000000000000004">
      <c r="A59" s="83"/>
      <c r="B59" s="83"/>
      <c r="C59" s="54">
        <v>14.75</v>
      </c>
      <c r="D59" s="36">
        <v>1</v>
      </c>
      <c r="E59" s="36">
        <v>1</v>
      </c>
      <c r="F59" s="36">
        <v>1</v>
      </c>
      <c r="G59" s="36">
        <v>1</v>
      </c>
      <c r="H59" s="36">
        <v>1</v>
      </c>
      <c r="I59" s="36">
        <v>1</v>
      </c>
      <c r="J59" s="36">
        <v>1</v>
      </c>
      <c r="K59" s="36">
        <v>1</v>
      </c>
      <c r="L59" s="36">
        <v>1</v>
      </c>
      <c r="M59" s="36">
        <v>1</v>
      </c>
      <c r="N59" s="36">
        <v>1</v>
      </c>
      <c r="O59" s="36">
        <v>1</v>
      </c>
      <c r="P59" s="36">
        <v>1</v>
      </c>
      <c r="Q59" s="36">
        <v>1</v>
      </c>
      <c r="R59" s="36">
        <v>1</v>
      </c>
      <c r="S59" s="36">
        <v>1</v>
      </c>
      <c r="T59" s="36">
        <v>1</v>
      </c>
      <c r="U59" s="36">
        <v>1</v>
      </c>
      <c r="V59" s="36">
        <v>1</v>
      </c>
      <c r="W59" s="36">
        <v>1</v>
      </c>
      <c r="X59" s="36">
        <v>1</v>
      </c>
      <c r="Y59" s="36" t="str">
        <f t="shared" si="15"/>
        <v>-</v>
      </c>
      <c r="Z59" s="36" t="str">
        <f t="shared" si="15"/>
        <v>-</v>
      </c>
      <c r="AE59" s="54">
        <v>16.25</v>
      </c>
      <c r="AF59" t="str">
        <f t="shared" si="14"/>
        <v>X</v>
      </c>
      <c r="AG59" t="str">
        <f t="shared" si="14"/>
        <v>X</v>
      </c>
      <c r="AH59" t="str">
        <f t="shared" si="14"/>
        <v>X</v>
      </c>
      <c r="AI59" t="str">
        <f t="shared" si="14"/>
        <v>X</v>
      </c>
      <c r="AJ59" t="str">
        <f t="shared" si="14"/>
        <v>X</v>
      </c>
      <c r="AK59" t="str">
        <f t="shared" si="14"/>
        <v>X</v>
      </c>
      <c r="AL59" t="str">
        <f t="shared" si="14"/>
        <v>X</v>
      </c>
      <c r="AM59" t="str">
        <f t="shared" si="14"/>
        <v>X</v>
      </c>
      <c r="AN59" t="str">
        <f t="shared" si="14"/>
        <v>X</v>
      </c>
      <c r="AO59" t="str">
        <f t="shared" si="14"/>
        <v>X</v>
      </c>
      <c r="AP59" t="str">
        <f t="shared" si="14"/>
        <v>X</v>
      </c>
      <c r="AQ59" t="str">
        <f t="shared" si="14"/>
        <v>X</v>
      </c>
      <c r="AR59" t="str">
        <f t="shared" si="14"/>
        <v>X</v>
      </c>
      <c r="AS59" t="str">
        <f t="shared" si="14"/>
        <v>X</v>
      </c>
      <c r="AT59" t="str">
        <f t="shared" si="14"/>
        <v>X</v>
      </c>
      <c r="AU59" t="str">
        <f t="shared" si="14"/>
        <v>X</v>
      </c>
      <c r="AV59" t="str">
        <f t="shared" si="13"/>
        <v>X</v>
      </c>
      <c r="AW59" t="str">
        <f t="shared" si="13"/>
        <v>X</v>
      </c>
      <c r="AX59" t="str">
        <f t="shared" si="13"/>
        <v>X</v>
      </c>
      <c r="AY59" t="str">
        <f t="shared" si="13"/>
        <v>X</v>
      </c>
      <c r="AZ59" t="str">
        <f t="shared" si="13"/>
        <v>X</v>
      </c>
      <c r="BA59" t="str">
        <f t="shared" si="13"/>
        <v>X</v>
      </c>
      <c r="BB59" t="str">
        <f t="shared" si="13"/>
        <v>X</v>
      </c>
    </row>
    <row r="60" spans="1:54" x14ac:dyDescent="0.55000000000000004">
      <c r="A60" s="83"/>
      <c r="B60" s="83"/>
      <c r="C60" s="54">
        <v>15</v>
      </c>
      <c r="D60" s="36">
        <v>1</v>
      </c>
      <c r="E60" s="36">
        <v>1</v>
      </c>
      <c r="F60" s="36">
        <v>1</v>
      </c>
      <c r="G60" s="36">
        <v>1</v>
      </c>
      <c r="H60" s="36">
        <v>1</v>
      </c>
      <c r="I60" s="36">
        <v>1</v>
      </c>
      <c r="J60" s="36">
        <v>1</v>
      </c>
      <c r="K60" s="36">
        <v>1</v>
      </c>
      <c r="L60" s="36">
        <v>1</v>
      </c>
      <c r="M60" s="36">
        <v>1</v>
      </c>
      <c r="N60" s="36">
        <v>1</v>
      </c>
      <c r="O60" s="36">
        <v>1</v>
      </c>
      <c r="P60" s="36">
        <v>1</v>
      </c>
      <c r="Q60" s="36">
        <v>1</v>
      </c>
      <c r="R60" s="36">
        <v>1</v>
      </c>
      <c r="S60" s="36">
        <v>1</v>
      </c>
      <c r="T60" s="36">
        <v>1</v>
      </c>
      <c r="U60" s="36">
        <v>1</v>
      </c>
      <c r="V60" s="36">
        <v>1</v>
      </c>
      <c r="W60" s="36">
        <v>1</v>
      </c>
      <c r="X60" s="36">
        <v>1</v>
      </c>
      <c r="Y60" s="36">
        <v>1</v>
      </c>
      <c r="Z60" s="36" t="str">
        <f t="shared" si="15"/>
        <v>-</v>
      </c>
      <c r="AE60" s="54">
        <v>16.5</v>
      </c>
      <c r="AF60" t="str">
        <f t="shared" si="14"/>
        <v>X</v>
      </c>
      <c r="AG60" t="str">
        <f t="shared" si="14"/>
        <v>X</v>
      </c>
      <c r="AH60" t="str">
        <f t="shared" si="14"/>
        <v>X</v>
      </c>
      <c r="AI60" t="str">
        <f t="shared" si="14"/>
        <v>X</v>
      </c>
      <c r="AJ60" t="str">
        <f t="shared" si="14"/>
        <v>X</v>
      </c>
      <c r="AK60" t="str">
        <f t="shared" si="14"/>
        <v>X</v>
      </c>
      <c r="AL60" t="str">
        <f t="shared" si="14"/>
        <v>X</v>
      </c>
      <c r="AM60" t="str">
        <f t="shared" si="14"/>
        <v>X</v>
      </c>
      <c r="AN60" t="str">
        <f t="shared" si="14"/>
        <v>X</v>
      </c>
      <c r="AO60" t="str">
        <f t="shared" si="14"/>
        <v>X</v>
      </c>
      <c r="AP60" t="str">
        <f t="shared" si="14"/>
        <v>X</v>
      </c>
      <c r="AQ60" t="str">
        <f t="shared" si="14"/>
        <v>X</v>
      </c>
      <c r="AR60" t="str">
        <f t="shared" si="14"/>
        <v>X</v>
      </c>
      <c r="AS60" t="str">
        <f t="shared" si="14"/>
        <v>X</v>
      </c>
      <c r="AT60" t="str">
        <f t="shared" si="14"/>
        <v>X</v>
      </c>
      <c r="AU60" t="str">
        <f t="shared" si="14"/>
        <v>X</v>
      </c>
      <c r="AV60" t="str">
        <f t="shared" si="13"/>
        <v>X</v>
      </c>
      <c r="AW60" t="str">
        <f t="shared" si="13"/>
        <v>X</v>
      </c>
      <c r="AX60" t="str">
        <f t="shared" si="13"/>
        <v>X</v>
      </c>
      <c r="AY60" t="str">
        <f t="shared" si="13"/>
        <v>X</v>
      </c>
      <c r="AZ60" t="str">
        <f t="shared" si="13"/>
        <v>X</v>
      </c>
      <c r="BA60" t="str">
        <f t="shared" si="13"/>
        <v>X</v>
      </c>
      <c r="BB60" t="str">
        <f t="shared" si="13"/>
        <v>X</v>
      </c>
    </row>
    <row r="61" spans="1:54" x14ac:dyDescent="0.55000000000000004">
      <c r="A61" s="83"/>
      <c r="B61" s="83"/>
      <c r="C61" s="54">
        <v>15.25</v>
      </c>
      <c r="D61" s="36">
        <v>1</v>
      </c>
      <c r="E61" s="36">
        <v>1</v>
      </c>
      <c r="F61" s="36">
        <v>1</v>
      </c>
      <c r="G61" s="36">
        <v>1</v>
      </c>
      <c r="H61" s="36">
        <v>1</v>
      </c>
      <c r="I61" s="36">
        <v>1</v>
      </c>
      <c r="J61" s="36">
        <v>1</v>
      </c>
      <c r="K61" s="36">
        <v>1</v>
      </c>
      <c r="L61" s="36">
        <v>1</v>
      </c>
      <c r="M61" s="36">
        <v>1</v>
      </c>
      <c r="N61" s="36">
        <v>1</v>
      </c>
      <c r="O61" s="36">
        <v>1</v>
      </c>
      <c r="P61" s="36">
        <v>1</v>
      </c>
      <c r="Q61" s="36">
        <v>1</v>
      </c>
      <c r="R61" s="36">
        <v>1</v>
      </c>
      <c r="S61" s="36">
        <v>1</v>
      </c>
      <c r="T61" s="36">
        <v>1</v>
      </c>
      <c r="U61" s="36">
        <v>1</v>
      </c>
      <c r="V61" s="36">
        <v>1</v>
      </c>
      <c r="W61" s="36">
        <v>1</v>
      </c>
      <c r="X61" s="36">
        <v>1</v>
      </c>
      <c r="Y61" s="36">
        <v>1</v>
      </c>
      <c r="Z61" s="36" t="str">
        <f t="shared" si="15"/>
        <v>-</v>
      </c>
      <c r="AE61" s="54">
        <v>16.75</v>
      </c>
      <c r="AF61" t="str">
        <f t="shared" si="14"/>
        <v>X</v>
      </c>
      <c r="AG61" t="str">
        <f t="shared" si="14"/>
        <v>X</v>
      </c>
      <c r="AH61" t="str">
        <f t="shared" si="14"/>
        <v>X</v>
      </c>
      <c r="AI61" t="str">
        <f t="shared" si="14"/>
        <v>X</v>
      </c>
      <c r="AJ61" t="str">
        <f t="shared" si="14"/>
        <v>X</v>
      </c>
      <c r="AK61" t="str">
        <f t="shared" si="14"/>
        <v>X</v>
      </c>
      <c r="AL61" t="str">
        <f t="shared" si="14"/>
        <v>X</v>
      </c>
      <c r="AM61" t="str">
        <f t="shared" si="14"/>
        <v>X</v>
      </c>
      <c r="AN61" t="str">
        <f t="shared" si="14"/>
        <v>X</v>
      </c>
      <c r="AO61" t="str">
        <f t="shared" si="14"/>
        <v>X</v>
      </c>
      <c r="AP61" t="str">
        <f t="shared" si="14"/>
        <v>X</v>
      </c>
      <c r="AQ61" t="str">
        <f t="shared" si="14"/>
        <v>X</v>
      </c>
      <c r="AR61" t="str">
        <f t="shared" si="14"/>
        <v>X</v>
      </c>
      <c r="AS61" t="str">
        <f t="shared" si="14"/>
        <v>X</v>
      </c>
      <c r="AT61" t="str">
        <f t="shared" si="14"/>
        <v>X</v>
      </c>
      <c r="AU61" t="str">
        <f t="shared" ref="AU61:BB74" si="16">IF($AE61&gt;=(4*AU$1),"X","")</f>
        <v>X</v>
      </c>
      <c r="AV61" t="str">
        <f t="shared" si="16"/>
        <v>X</v>
      </c>
      <c r="AW61" t="str">
        <f t="shared" si="16"/>
        <v>X</v>
      </c>
      <c r="AX61" t="str">
        <f t="shared" si="16"/>
        <v>X</v>
      </c>
      <c r="AY61" t="str">
        <f t="shared" si="16"/>
        <v>X</v>
      </c>
      <c r="AZ61" t="str">
        <f t="shared" si="16"/>
        <v>X</v>
      </c>
      <c r="BA61" t="str">
        <f t="shared" si="16"/>
        <v>X</v>
      </c>
      <c r="BB61" t="str">
        <f t="shared" si="16"/>
        <v>X</v>
      </c>
    </row>
    <row r="62" spans="1:54" x14ac:dyDescent="0.55000000000000004">
      <c r="A62" s="83"/>
      <c r="B62" s="83"/>
      <c r="C62" s="54">
        <v>15.5</v>
      </c>
      <c r="D62" s="36">
        <v>1</v>
      </c>
      <c r="E62" s="36">
        <v>1</v>
      </c>
      <c r="F62" s="36">
        <v>1</v>
      </c>
      <c r="G62" s="36">
        <v>1</v>
      </c>
      <c r="H62" s="36">
        <v>1</v>
      </c>
      <c r="I62" s="36">
        <v>1</v>
      </c>
      <c r="J62" s="36">
        <v>1</v>
      </c>
      <c r="K62" s="36">
        <v>1</v>
      </c>
      <c r="L62" s="36">
        <v>1</v>
      </c>
      <c r="M62" s="36">
        <v>1</v>
      </c>
      <c r="N62" s="36">
        <v>1</v>
      </c>
      <c r="O62" s="36">
        <v>1</v>
      </c>
      <c r="P62" s="36">
        <v>1</v>
      </c>
      <c r="Q62" s="36">
        <v>1</v>
      </c>
      <c r="R62" s="36">
        <v>1</v>
      </c>
      <c r="S62" s="36">
        <v>1</v>
      </c>
      <c r="T62" s="36">
        <v>1</v>
      </c>
      <c r="U62" s="36">
        <v>1</v>
      </c>
      <c r="V62" s="36">
        <v>1</v>
      </c>
      <c r="W62" s="36">
        <v>1</v>
      </c>
      <c r="X62" s="36">
        <v>1</v>
      </c>
      <c r="Y62" s="36">
        <v>1</v>
      </c>
      <c r="Z62" s="36" t="str">
        <f t="shared" si="15"/>
        <v>-</v>
      </c>
      <c r="AE62" s="54">
        <v>17</v>
      </c>
      <c r="AF62" t="str">
        <f t="shared" ref="AF62:AU74" si="17">IF($AE62&gt;=(4*AF$1),"X","")</f>
        <v>X</v>
      </c>
      <c r="AG62" t="str">
        <f t="shared" si="17"/>
        <v>X</v>
      </c>
      <c r="AH62" t="str">
        <f t="shared" si="17"/>
        <v>X</v>
      </c>
      <c r="AI62" t="str">
        <f t="shared" si="17"/>
        <v>X</v>
      </c>
      <c r="AJ62" t="str">
        <f t="shared" si="17"/>
        <v>X</v>
      </c>
      <c r="AK62" t="str">
        <f t="shared" si="17"/>
        <v>X</v>
      </c>
      <c r="AL62" t="str">
        <f t="shared" si="17"/>
        <v>X</v>
      </c>
      <c r="AM62" t="str">
        <f t="shared" si="17"/>
        <v>X</v>
      </c>
      <c r="AN62" t="str">
        <f t="shared" si="17"/>
        <v>X</v>
      </c>
      <c r="AO62" t="str">
        <f t="shared" si="17"/>
        <v>X</v>
      </c>
      <c r="AP62" t="str">
        <f t="shared" si="17"/>
        <v>X</v>
      </c>
      <c r="AQ62" t="str">
        <f t="shared" si="17"/>
        <v>X</v>
      </c>
      <c r="AR62" t="str">
        <f t="shared" si="17"/>
        <v>X</v>
      </c>
      <c r="AS62" t="str">
        <f t="shared" si="17"/>
        <v>X</v>
      </c>
      <c r="AT62" t="str">
        <f t="shared" si="17"/>
        <v>X</v>
      </c>
      <c r="AU62" t="str">
        <f t="shared" si="17"/>
        <v>X</v>
      </c>
      <c r="AV62" t="str">
        <f t="shared" si="16"/>
        <v>X</v>
      </c>
      <c r="AW62" t="str">
        <f t="shared" si="16"/>
        <v>X</v>
      </c>
      <c r="AX62" t="str">
        <f t="shared" si="16"/>
        <v>X</v>
      </c>
      <c r="AY62" t="str">
        <f t="shared" si="16"/>
        <v>X</v>
      </c>
      <c r="AZ62" t="str">
        <f t="shared" si="16"/>
        <v>X</v>
      </c>
      <c r="BA62" t="str">
        <f t="shared" si="16"/>
        <v>X</v>
      </c>
      <c r="BB62" t="str">
        <f t="shared" si="16"/>
        <v>X</v>
      </c>
    </row>
    <row r="63" spans="1:54" x14ac:dyDescent="0.55000000000000004">
      <c r="A63" s="83"/>
      <c r="B63" s="83"/>
      <c r="C63" s="54">
        <v>15.75</v>
      </c>
      <c r="D63" s="36">
        <v>1</v>
      </c>
      <c r="E63" s="36">
        <v>1</v>
      </c>
      <c r="F63" s="36">
        <v>1</v>
      </c>
      <c r="G63" s="36">
        <v>1</v>
      </c>
      <c r="H63" s="36">
        <v>1</v>
      </c>
      <c r="I63" s="36">
        <v>1</v>
      </c>
      <c r="J63" s="36">
        <v>1</v>
      </c>
      <c r="K63" s="36">
        <v>1</v>
      </c>
      <c r="L63" s="36">
        <v>1</v>
      </c>
      <c r="M63" s="36">
        <v>1</v>
      </c>
      <c r="N63" s="36">
        <v>1</v>
      </c>
      <c r="O63" s="36">
        <v>1</v>
      </c>
      <c r="P63" s="36">
        <v>1</v>
      </c>
      <c r="Q63" s="36">
        <v>1</v>
      </c>
      <c r="R63" s="36">
        <v>1</v>
      </c>
      <c r="S63" s="36">
        <v>1</v>
      </c>
      <c r="T63" s="36">
        <v>1</v>
      </c>
      <c r="U63" s="36">
        <v>1</v>
      </c>
      <c r="V63" s="36">
        <v>1</v>
      </c>
      <c r="W63" s="36">
        <v>1</v>
      </c>
      <c r="X63" s="36">
        <v>1</v>
      </c>
      <c r="Y63" s="36">
        <v>1</v>
      </c>
      <c r="Z63" s="36" t="str">
        <f t="shared" si="15"/>
        <v>-</v>
      </c>
      <c r="AE63" s="54">
        <v>17.25</v>
      </c>
      <c r="AF63" t="str">
        <f t="shared" si="17"/>
        <v>X</v>
      </c>
      <c r="AG63" t="str">
        <f t="shared" si="17"/>
        <v>X</v>
      </c>
      <c r="AH63" t="str">
        <f t="shared" si="17"/>
        <v>X</v>
      </c>
      <c r="AI63" t="str">
        <f t="shared" si="17"/>
        <v>X</v>
      </c>
      <c r="AJ63" t="str">
        <f t="shared" si="17"/>
        <v>X</v>
      </c>
      <c r="AK63" t="str">
        <f t="shared" si="17"/>
        <v>X</v>
      </c>
      <c r="AL63" t="str">
        <f t="shared" si="17"/>
        <v>X</v>
      </c>
      <c r="AM63" t="str">
        <f t="shared" si="17"/>
        <v>X</v>
      </c>
      <c r="AN63" t="str">
        <f t="shared" si="17"/>
        <v>X</v>
      </c>
      <c r="AO63" t="str">
        <f t="shared" si="17"/>
        <v>X</v>
      </c>
      <c r="AP63" t="str">
        <f t="shared" si="17"/>
        <v>X</v>
      </c>
      <c r="AQ63" t="str">
        <f t="shared" si="17"/>
        <v>X</v>
      </c>
      <c r="AR63" t="str">
        <f t="shared" si="17"/>
        <v>X</v>
      </c>
      <c r="AS63" t="str">
        <f t="shared" si="17"/>
        <v>X</v>
      </c>
      <c r="AT63" t="str">
        <f t="shared" si="17"/>
        <v>X</v>
      </c>
      <c r="AU63" t="str">
        <f t="shared" si="17"/>
        <v>X</v>
      </c>
      <c r="AV63" t="str">
        <f t="shared" si="16"/>
        <v>X</v>
      </c>
      <c r="AW63" t="str">
        <f t="shared" si="16"/>
        <v>X</v>
      </c>
      <c r="AX63" t="str">
        <f t="shared" si="16"/>
        <v>X</v>
      </c>
      <c r="AY63" t="str">
        <f t="shared" si="16"/>
        <v>X</v>
      </c>
      <c r="AZ63" t="str">
        <f t="shared" si="16"/>
        <v>X</v>
      </c>
      <c r="BA63" t="str">
        <f t="shared" si="16"/>
        <v>X</v>
      </c>
      <c r="BB63" t="str">
        <f t="shared" si="16"/>
        <v>X</v>
      </c>
    </row>
    <row r="64" spans="1:54" x14ac:dyDescent="0.55000000000000004">
      <c r="A64" s="83"/>
      <c r="B64" s="83"/>
      <c r="C64" s="54">
        <v>16</v>
      </c>
      <c r="D64" s="36">
        <v>1</v>
      </c>
      <c r="E64" s="36">
        <v>1</v>
      </c>
      <c r="F64" s="36">
        <v>1</v>
      </c>
      <c r="G64" s="36">
        <v>1</v>
      </c>
      <c r="H64" s="36">
        <v>1</v>
      </c>
      <c r="I64" s="36">
        <v>1</v>
      </c>
      <c r="J64" s="36">
        <v>1</v>
      </c>
      <c r="K64" s="36">
        <v>1</v>
      </c>
      <c r="L64" s="36">
        <v>1</v>
      </c>
      <c r="M64" s="36">
        <v>1</v>
      </c>
      <c r="N64" s="36">
        <v>1</v>
      </c>
      <c r="O64" s="36">
        <v>1</v>
      </c>
      <c r="P64" s="36">
        <v>1</v>
      </c>
      <c r="Q64" s="36">
        <v>1</v>
      </c>
      <c r="R64" s="36">
        <v>1</v>
      </c>
      <c r="S64" s="36">
        <v>1</v>
      </c>
      <c r="T64" s="36">
        <v>1</v>
      </c>
      <c r="U64" s="36">
        <v>1</v>
      </c>
      <c r="V64" s="36">
        <v>1</v>
      </c>
      <c r="W64" s="36">
        <v>1</v>
      </c>
      <c r="X64" s="36">
        <v>1</v>
      </c>
      <c r="Y64" s="36">
        <v>1</v>
      </c>
      <c r="Z64" s="36">
        <v>1</v>
      </c>
      <c r="AE64" s="54">
        <v>17.5</v>
      </c>
      <c r="AF64" t="str">
        <f t="shared" si="17"/>
        <v>X</v>
      </c>
      <c r="AG64" t="str">
        <f t="shared" si="17"/>
        <v>X</v>
      </c>
      <c r="AH64" t="str">
        <f t="shared" si="17"/>
        <v>X</v>
      </c>
      <c r="AI64" t="str">
        <f t="shared" si="17"/>
        <v>X</v>
      </c>
      <c r="AJ64" t="str">
        <f t="shared" si="17"/>
        <v>X</v>
      </c>
      <c r="AK64" t="str">
        <f t="shared" si="17"/>
        <v>X</v>
      </c>
      <c r="AL64" t="str">
        <f t="shared" si="17"/>
        <v>X</v>
      </c>
      <c r="AM64" t="str">
        <f t="shared" si="17"/>
        <v>X</v>
      </c>
      <c r="AN64" t="str">
        <f t="shared" si="17"/>
        <v>X</v>
      </c>
      <c r="AO64" t="str">
        <f t="shared" si="17"/>
        <v>X</v>
      </c>
      <c r="AP64" t="str">
        <f t="shared" si="17"/>
        <v>X</v>
      </c>
      <c r="AQ64" t="str">
        <f t="shared" si="17"/>
        <v>X</v>
      </c>
      <c r="AR64" t="str">
        <f t="shared" si="17"/>
        <v>X</v>
      </c>
      <c r="AS64" t="str">
        <f t="shared" si="17"/>
        <v>X</v>
      </c>
      <c r="AT64" t="str">
        <f t="shared" si="17"/>
        <v>X</v>
      </c>
      <c r="AU64" t="str">
        <f t="shared" si="17"/>
        <v>X</v>
      </c>
      <c r="AV64" t="str">
        <f t="shared" si="16"/>
        <v>X</v>
      </c>
      <c r="AW64" t="str">
        <f t="shared" si="16"/>
        <v>X</v>
      </c>
      <c r="AX64" t="str">
        <f t="shared" si="16"/>
        <v>X</v>
      </c>
      <c r="AY64" t="str">
        <f t="shared" si="16"/>
        <v>X</v>
      </c>
      <c r="AZ64" t="str">
        <f t="shared" si="16"/>
        <v>X</v>
      </c>
      <c r="BA64" t="str">
        <f t="shared" si="16"/>
        <v>X</v>
      </c>
      <c r="BB64" t="str">
        <f t="shared" si="16"/>
        <v>X</v>
      </c>
    </row>
    <row r="65" spans="1:54" x14ac:dyDescent="0.55000000000000004">
      <c r="A65" s="83"/>
      <c r="B65" s="83"/>
      <c r="C65" s="54">
        <v>16.25</v>
      </c>
      <c r="D65" s="36">
        <v>1</v>
      </c>
      <c r="E65" s="36">
        <v>1</v>
      </c>
      <c r="F65" s="36">
        <v>1</v>
      </c>
      <c r="G65" s="36">
        <v>1</v>
      </c>
      <c r="H65" s="36">
        <v>1</v>
      </c>
      <c r="I65" s="36">
        <v>1</v>
      </c>
      <c r="J65" s="36">
        <v>1</v>
      </c>
      <c r="K65" s="36">
        <v>1</v>
      </c>
      <c r="L65" s="36">
        <v>1</v>
      </c>
      <c r="M65" s="36">
        <v>1</v>
      </c>
      <c r="N65" s="36">
        <v>1</v>
      </c>
      <c r="O65" s="36">
        <v>1</v>
      </c>
      <c r="P65" s="36">
        <v>1</v>
      </c>
      <c r="Q65" s="36">
        <v>1</v>
      </c>
      <c r="R65" s="36">
        <v>1</v>
      </c>
      <c r="S65" s="36">
        <v>1</v>
      </c>
      <c r="T65" s="36">
        <v>1</v>
      </c>
      <c r="U65" s="36">
        <v>1</v>
      </c>
      <c r="V65" s="36">
        <v>1</v>
      </c>
      <c r="W65" s="36">
        <v>1</v>
      </c>
      <c r="X65" s="36">
        <v>1</v>
      </c>
      <c r="Y65" s="36">
        <v>1</v>
      </c>
      <c r="Z65" s="36">
        <v>1</v>
      </c>
      <c r="AE65" s="54">
        <v>17.75</v>
      </c>
      <c r="AF65" t="str">
        <f t="shared" si="17"/>
        <v>X</v>
      </c>
      <c r="AG65" t="str">
        <f t="shared" si="17"/>
        <v>X</v>
      </c>
      <c r="AH65" t="str">
        <f t="shared" si="17"/>
        <v>X</v>
      </c>
      <c r="AI65" t="str">
        <f t="shared" si="17"/>
        <v>X</v>
      </c>
      <c r="AJ65" t="str">
        <f t="shared" si="17"/>
        <v>X</v>
      </c>
      <c r="AK65" t="str">
        <f t="shared" si="17"/>
        <v>X</v>
      </c>
      <c r="AL65" t="str">
        <f t="shared" si="17"/>
        <v>X</v>
      </c>
      <c r="AM65" t="str">
        <f t="shared" si="17"/>
        <v>X</v>
      </c>
      <c r="AN65" t="str">
        <f t="shared" si="17"/>
        <v>X</v>
      </c>
      <c r="AO65" t="str">
        <f t="shared" si="17"/>
        <v>X</v>
      </c>
      <c r="AP65" t="str">
        <f t="shared" si="17"/>
        <v>X</v>
      </c>
      <c r="AQ65" t="str">
        <f t="shared" si="17"/>
        <v>X</v>
      </c>
      <c r="AR65" t="str">
        <f t="shared" si="17"/>
        <v>X</v>
      </c>
      <c r="AS65" t="str">
        <f t="shared" si="17"/>
        <v>X</v>
      </c>
      <c r="AT65" t="str">
        <f t="shared" si="17"/>
        <v>X</v>
      </c>
      <c r="AU65" t="str">
        <f t="shared" si="17"/>
        <v>X</v>
      </c>
      <c r="AV65" t="str">
        <f t="shared" si="16"/>
        <v>X</v>
      </c>
      <c r="AW65" t="str">
        <f t="shared" si="16"/>
        <v>X</v>
      </c>
      <c r="AX65" t="str">
        <f t="shared" si="16"/>
        <v>X</v>
      </c>
      <c r="AY65" t="str">
        <f t="shared" si="16"/>
        <v>X</v>
      </c>
      <c r="AZ65" t="str">
        <f t="shared" si="16"/>
        <v>X</v>
      </c>
      <c r="BA65" t="str">
        <f t="shared" si="16"/>
        <v>X</v>
      </c>
      <c r="BB65" t="str">
        <f t="shared" si="16"/>
        <v>X</v>
      </c>
    </row>
    <row r="66" spans="1:54" x14ac:dyDescent="0.55000000000000004">
      <c r="A66" s="83"/>
      <c r="B66" s="83"/>
      <c r="C66" s="54">
        <v>16.5</v>
      </c>
      <c r="D66" s="36">
        <v>1</v>
      </c>
      <c r="E66" s="36">
        <v>1</v>
      </c>
      <c r="F66" s="36">
        <v>1</v>
      </c>
      <c r="G66" s="36">
        <v>1</v>
      </c>
      <c r="H66" s="36">
        <v>1</v>
      </c>
      <c r="I66" s="36">
        <v>1</v>
      </c>
      <c r="J66" s="36">
        <v>1</v>
      </c>
      <c r="K66" s="36">
        <v>1</v>
      </c>
      <c r="L66" s="36">
        <v>1</v>
      </c>
      <c r="M66" s="36">
        <v>1</v>
      </c>
      <c r="N66" s="36">
        <v>1</v>
      </c>
      <c r="O66" s="36">
        <v>1</v>
      </c>
      <c r="P66" s="36">
        <v>1</v>
      </c>
      <c r="Q66" s="36">
        <v>1</v>
      </c>
      <c r="R66" s="36">
        <v>1</v>
      </c>
      <c r="S66" s="36">
        <v>1</v>
      </c>
      <c r="T66" s="36">
        <v>1</v>
      </c>
      <c r="U66" s="36">
        <v>1</v>
      </c>
      <c r="V66" s="36">
        <v>1</v>
      </c>
      <c r="W66" s="36">
        <v>1</v>
      </c>
      <c r="X66" s="36">
        <v>1</v>
      </c>
      <c r="Y66" s="36">
        <v>1</v>
      </c>
      <c r="Z66" s="36">
        <v>1</v>
      </c>
      <c r="AE66" s="54">
        <v>18</v>
      </c>
      <c r="AF66" t="str">
        <f t="shared" si="17"/>
        <v>X</v>
      </c>
      <c r="AG66" t="str">
        <f t="shared" si="17"/>
        <v>X</v>
      </c>
      <c r="AH66" t="str">
        <f t="shared" si="17"/>
        <v>X</v>
      </c>
      <c r="AI66" t="str">
        <f t="shared" si="17"/>
        <v>X</v>
      </c>
      <c r="AJ66" t="str">
        <f t="shared" si="17"/>
        <v>X</v>
      </c>
      <c r="AK66" t="str">
        <f t="shared" si="17"/>
        <v>X</v>
      </c>
      <c r="AL66" t="str">
        <f t="shared" si="17"/>
        <v>X</v>
      </c>
      <c r="AM66" t="str">
        <f t="shared" si="17"/>
        <v>X</v>
      </c>
      <c r="AN66" t="str">
        <f t="shared" si="17"/>
        <v>X</v>
      </c>
      <c r="AO66" t="str">
        <f t="shared" si="17"/>
        <v>X</v>
      </c>
      <c r="AP66" t="str">
        <f t="shared" si="17"/>
        <v>X</v>
      </c>
      <c r="AQ66" t="str">
        <f t="shared" si="17"/>
        <v>X</v>
      </c>
      <c r="AR66" t="str">
        <f t="shared" si="17"/>
        <v>X</v>
      </c>
      <c r="AS66" t="str">
        <f t="shared" si="17"/>
        <v>X</v>
      </c>
      <c r="AT66" t="str">
        <f t="shared" si="17"/>
        <v>X</v>
      </c>
      <c r="AU66" t="str">
        <f t="shared" si="17"/>
        <v>X</v>
      </c>
      <c r="AV66" t="str">
        <f t="shared" si="16"/>
        <v>X</v>
      </c>
      <c r="AW66" t="str">
        <f t="shared" si="16"/>
        <v>X</v>
      </c>
      <c r="AX66" t="str">
        <f t="shared" si="16"/>
        <v>X</v>
      </c>
      <c r="AY66" t="str">
        <f t="shared" si="16"/>
        <v>X</v>
      </c>
      <c r="AZ66" t="str">
        <f t="shared" si="16"/>
        <v>X</v>
      </c>
      <c r="BA66" t="str">
        <f t="shared" si="16"/>
        <v>X</v>
      </c>
      <c r="BB66" t="str">
        <f t="shared" si="16"/>
        <v>X</v>
      </c>
    </row>
    <row r="67" spans="1:54" x14ac:dyDescent="0.55000000000000004">
      <c r="A67" s="83"/>
      <c r="B67" s="83"/>
      <c r="C67" s="54">
        <v>16.75</v>
      </c>
      <c r="D67" s="36">
        <v>1</v>
      </c>
      <c r="E67" s="36">
        <v>1</v>
      </c>
      <c r="F67" s="36">
        <v>1</v>
      </c>
      <c r="G67" s="36">
        <v>1</v>
      </c>
      <c r="H67" s="36">
        <v>1</v>
      </c>
      <c r="I67" s="36">
        <v>1</v>
      </c>
      <c r="J67" s="36">
        <v>1</v>
      </c>
      <c r="K67" s="36">
        <v>1</v>
      </c>
      <c r="L67" s="36">
        <v>1</v>
      </c>
      <c r="M67" s="36">
        <v>1</v>
      </c>
      <c r="N67" s="36">
        <v>1</v>
      </c>
      <c r="O67" s="36">
        <v>1</v>
      </c>
      <c r="P67" s="36">
        <v>1</v>
      </c>
      <c r="Q67" s="36">
        <v>1</v>
      </c>
      <c r="R67" s="36">
        <v>1</v>
      </c>
      <c r="S67" s="36">
        <v>1</v>
      </c>
      <c r="T67" s="36">
        <v>1</v>
      </c>
      <c r="U67" s="36">
        <v>1</v>
      </c>
      <c r="V67" s="36">
        <v>1</v>
      </c>
      <c r="W67" s="36">
        <v>1</v>
      </c>
      <c r="X67" s="36">
        <v>1</v>
      </c>
      <c r="Y67" s="36">
        <v>1</v>
      </c>
      <c r="Z67" s="36">
        <v>1</v>
      </c>
      <c r="AE67" s="54">
        <v>18.25</v>
      </c>
      <c r="AF67" t="str">
        <f t="shared" si="17"/>
        <v>X</v>
      </c>
      <c r="AG67" t="str">
        <f t="shared" si="17"/>
        <v>X</v>
      </c>
      <c r="AH67" t="str">
        <f t="shared" si="17"/>
        <v>X</v>
      </c>
      <c r="AI67" t="str">
        <f t="shared" si="17"/>
        <v>X</v>
      </c>
      <c r="AJ67" t="str">
        <f t="shared" si="17"/>
        <v>X</v>
      </c>
      <c r="AK67" t="str">
        <f t="shared" si="17"/>
        <v>X</v>
      </c>
      <c r="AL67" t="str">
        <f t="shared" si="17"/>
        <v>X</v>
      </c>
      <c r="AM67" t="str">
        <f t="shared" si="17"/>
        <v>X</v>
      </c>
      <c r="AN67" t="str">
        <f t="shared" si="17"/>
        <v>X</v>
      </c>
      <c r="AO67" t="str">
        <f t="shared" si="17"/>
        <v>X</v>
      </c>
      <c r="AP67" t="str">
        <f t="shared" si="17"/>
        <v>X</v>
      </c>
      <c r="AQ67" t="str">
        <f t="shared" si="17"/>
        <v>X</v>
      </c>
      <c r="AR67" t="str">
        <f t="shared" si="17"/>
        <v>X</v>
      </c>
      <c r="AS67" t="str">
        <f t="shared" si="17"/>
        <v>X</v>
      </c>
      <c r="AT67" t="str">
        <f t="shared" si="17"/>
        <v>X</v>
      </c>
      <c r="AU67" t="str">
        <f t="shared" si="17"/>
        <v>X</v>
      </c>
      <c r="AV67" t="str">
        <f t="shared" si="16"/>
        <v>X</v>
      </c>
      <c r="AW67" t="str">
        <f t="shared" si="16"/>
        <v>X</v>
      </c>
      <c r="AX67" t="str">
        <f t="shared" si="16"/>
        <v>X</v>
      </c>
      <c r="AY67" t="str">
        <f t="shared" si="16"/>
        <v>X</v>
      </c>
      <c r="AZ67" t="str">
        <f t="shared" si="16"/>
        <v>X</v>
      </c>
      <c r="BA67" t="str">
        <f t="shared" si="16"/>
        <v>X</v>
      </c>
      <c r="BB67" t="str">
        <f t="shared" si="16"/>
        <v>X</v>
      </c>
    </row>
    <row r="68" spans="1:54" x14ac:dyDescent="0.55000000000000004">
      <c r="A68" s="83"/>
      <c r="B68" s="83"/>
      <c r="C68" s="54">
        <v>17</v>
      </c>
      <c r="D68" s="36">
        <v>1</v>
      </c>
      <c r="E68" s="36">
        <v>1</v>
      </c>
      <c r="F68" s="36">
        <v>1</v>
      </c>
      <c r="G68" s="36">
        <v>1</v>
      </c>
      <c r="H68" s="36">
        <v>1</v>
      </c>
      <c r="I68" s="36">
        <v>1</v>
      </c>
      <c r="J68" s="36">
        <v>1</v>
      </c>
      <c r="K68" s="36">
        <v>1</v>
      </c>
      <c r="L68" s="36">
        <v>1</v>
      </c>
      <c r="M68" s="36">
        <v>1</v>
      </c>
      <c r="N68" s="36">
        <v>1</v>
      </c>
      <c r="O68" s="36">
        <v>1</v>
      </c>
      <c r="P68" s="36">
        <v>1</v>
      </c>
      <c r="Q68" s="36">
        <v>1</v>
      </c>
      <c r="R68" s="36">
        <v>1</v>
      </c>
      <c r="S68" s="36">
        <v>1</v>
      </c>
      <c r="T68" s="36">
        <v>1</v>
      </c>
      <c r="U68" s="36">
        <v>1</v>
      </c>
      <c r="V68" s="36">
        <v>1</v>
      </c>
      <c r="W68" s="36">
        <v>1</v>
      </c>
      <c r="X68" s="36">
        <v>1</v>
      </c>
      <c r="Y68" s="36">
        <v>1</v>
      </c>
      <c r="Z68" s="36">
        <v>1</v>
      </c>
      <c r="AE68" s="54">
        <v>18.5</v>
      </c>
      <c r="AF68" t="str">
        <f t="shared" si="17"/>
        <v>X</v>
      </c>
      <c r="AG68" t="str">
        <f t="shared" si="17"/>
        <v>X</v>
      </c>
      <c r="AH68" t="str">
        <f t="shared" si="17"/>
        <v>X</v>
      </c>
      <c r="AI68" t="str">
        <f t="shared" si="17"/>
        <v>X</v>
      </c>
      <c r="AJ68" t="str">
        <f t="shared" si="17"/>
        <v>X</v>
      </c>
      <c r="AK68" t="str">
        <f t="shared" si="17"/>
        <v>X</v>
      </c>
      <c r="AL68" t="str">
        <f t="shared" si="17"/>
        <v>X</v>
      </c>
      <c r="AM68" t="str">
        <f t="shared" si="17"/>
        <v>X</v>
      </c>
      <c r="AN68" t="str">
        <f t="shared" si="17"/>
        <v>X</v>
      </c>
      <c r="AO68" t="str">
        <f t="shared" si="17"/>
        <v>X</v>
      </c>
      <c r="AP68" t="str">
        <f t="shared" si="17"/>
        <v>X</v>
      </c>
      <c r="AQ68" t="str">
        <f t="shared" si="17"/>
        <v>X</v>
      </c>
      <c r="AR68" t="str">
        <f t="shared" si="17"/>
        <v>X</v>
      </c>
      <c r="AS68" t="str">
        <f t="shared" si="17"/>
        <v>X</v>
      </c>
      <c r="AT68" t="str">
        <f t="shared" si="17"/>
        <v>X</v>
      </c>
      <c r="AU68" t="str">
        <f t="shared" si="17"/>
        <v>X</v>
      </c>
      <c r="AV68" t="str">
        <f t="shared" si="16"/>
        <v>X</v>
      </c>
      <c r="AW68" t="str">
        <f t="shared" si="16"/>
        <v>X</v>
      </c>
      <c r="AX68" t="str">
        <f t="shared" si="16"/>
        <v>X</v>
      </c>
      <c r="AY68" t="str">
        <f t="shared" si="16"/>
        <v>X</v>
      </c>
      <c r="AZ68" t="str">
        <f t="shared" si="16"/>
        <v>X</v>
      </c>
      <c r="BA68" t="str">
        <f t="shared" si="16"/>
        <v>X</v>
      </c>
      <c r="BB68" t="str">
        <f t="shared" si="16"/>
        <v>X</v>
      </c>
    </row>
    <row r="69" spans="1:54" x14ac:dyDescent="0.55000000000000004">
      <c r="A69" s="83"/>
      <c r="B69" s="83"/>
      <c r="C69" s="54">
        <v>17.25</v>
      </c>
      <c r="D69" s="36">
        <v>1</v>
      </c>
      <c r="E69" s="36">
        <v>1</v>
      </c>
      <c r="F69" s="36">
        <v>1</v>
      </c>
      <c r="G69" s="36">
        <v>1</v>
      </c>
      <c r="H69" s="36">
        <v>1</v>
      </c>
      <c r="I69" s="36">
        <v>1</v>
      </c>
      <c r="J69" s="36">
        <v>1</v>
      </c>
      <c r="K69" s="36">
        <v>1</v>
      </c>
      <c r="L69" s="36">
        <v>1</v>
      </c>
      <c r="M69" s="36">
        <v>1</v>
      </c>
      <c r="N69" s="36">
        <v>1</v>
      </c>
      <c r="O69" s="36">
        <v>1</v>
      </c>
      <c r="P69" s="36">
        <v>1</v>
      </c>
      <c r="Q69" s="36">
        <v>1</v>
      </c>
      <c r="R69" s="36">
        <v>1</v>
      </c>
      <c r="S69" s="36">
        <v>1</v>
      </c>
      <c r="T69" s="36">
        <v>1</v>
      </c>
      <c r="U69" s="36">
        <v>1</v>
      </c>
      <c r="V69" s="36">
        <v>1</v>
      </c>
      <c r="W69" s="36">
        <v>1</v>
      </c>
      <c r="X69" s="36">
        <v>1</v>
      </c>
      <c r="Y69" s="36">
        <v>1</v>
      </c>
      <c r="Z69" s="36">
        <v>1</v>
      </c>
      <c r="AE69" s="54">
        <v>18.75</v>
      </c>
      <c r="AF69" t="str">
        <f t="shared" si="17"/>
        <v>X</v>
      </c>
      <c r="AG69" t="str">
        <f t="shared" si="17"/>
        <v>X</v>
      </c>
      <c r="AH69" t="str">
        <f t="shared" si="17"/>
        <v>X</v>
      </c>
      <c r="AI69" t="str">
        <f t="shared" si="17"/>
        <v>X</v>
      </c>
      <c r="AJ69" t="str">
        <f t="shared" si="17"/>
        <v>X</v>
      </c>
      <c r="AK69" t="str">
        <f t="shared" si="17"/>
        <v>X</v>
      </c>
      <c r="AL69" t="str">
        <f t="shared" si="17"/>
        <v>X</v>
      </c>
      <c r="AM69" t="str">
        <f t="shared" si="17"/>
        <v>X</v>
      </c>
      <c r="AN69" t="str">
        <f t="shared" si="17"/>
        <v>X</v>
      </c>
      <c r="AO69" t="str">
        <f t="shared" si="17"/>
        <v>X</v>
      </c>
      <c r="AP69" t="str">
        <f t="shared" si="17"/>
        <v>X</v>
      </c>
      <c r="AQ69" t="str">
        <f t="shared" si="17"/>
        <v>X</v>
      </c>
      <c r="AR69" t="str">
        <f t="shared" si="17"/>
        <v>X</v>
      </c>
      <c r="AS69" t="str">
        <f t="shared" si="17"/>
        <v>X</v>
      </c>
      <c r="AT69" t="str">
        <f t="shared" si="17"/>
        <v>X</v>
      </c>
      <c r="AU69" t="str">
        <f t="shared" si="17"/>
        <v>X</v>
      </c>
      <c r="AV69" t="str">
        <f t="shared" si="16"/>
        <v>X</v>
      </c>
      <c r="AW69" t="str">
        <f t="shared" si="16"/>
        <v>X</v>
      </c>
      <c r="AX69" t="str">
        <f t="shared" si="16"/>
        <v>X</v>
      </c>
      <c r="AY69" t="str">
        <f t="shared" si="16"/>
        <v>X</v>
      </c>
      <c r="AZ69" t="str">
        <f t="shared" si="16"/>
        <v>X</v>
      </c>
      <c r="BA69" t="str">
        <f t="shared" si="16"/>
        <v>X</v>
      </c>
      <c r="BB69" t="str">
        <f t="shared" si="16"/>
        <v>X</v>
      </c>
    </row>
    <row r="70" spans="1:54" x14ac:dyDescent="0.55000000000000004">
      <c r="A70" s="83"/>
      <c r="B70" s="83"/>
      <c r="C70" s="54">
        <v>17.5</v>
      </c>
      <c r="D70" s="36">
        <v>1</v>
      </c>
      <c r="E70" s="36">
        <v>1</v>
      </c>
      <c r="F70" s="36">
        <v>1</v>
      </c>
      <c r="G70" s="36">
        <v>1</v>
      </c>
      <c r="H70" s="36">
        <v>1</v>
      </c>
      <c r="I70" s="36">
        <v>1</v>
      </c>
      <c r="J70" s="36">
        <v>1</v>
      </c>
      <c r="K70" s="36">
        <v>1</v>
      </c>
      <c r="L70" s="36">
        <v>1</v>
      </c>
      <c r="M70" s="36">
        <v>1</v>
      </c>
      <c r="N70" s="36">
        <v>1</v>
      </c>
      <c r="O70" s="36">
        <v>1</v>
      </c>
      <c r="P70" s="36">
        <v>1</v>
      </c>
      <c r="Q70" s="36">
        <v>1</v>
      </c>
      <c r="R70" s="36">
        <v>1</v>
      </c>
      <c r="S70" s="36">
        <v>1</v>
      </c>
      <c r="T70" s="36">
        <v>1</v>
      </c>
      <c r="U70" s="36">
        <v>1</v>
      </c>
      <c r="V70" s="36">
        <v>1</v>
      </c>
      <c r="W70" s="36">
        <v>1</v>
      </c>
      <c r="X70" s="36">
        <v>1</v>
      </c>
      <c r="Y70" s="36">
        <v>1</v>
      </c>
      <c r="Z70" s="36">
        <v>1</v>
      </c>
      <c r="AE70" s="54">
        <v>19</v>
      </c>
      <c r="AF70" t="str">
        <f t="shared" si="17"/>
        <v>X</v>
      </c>
      <c r="AG70" t="str">
        <f t="shared" si="17"/>
        <v>X</v>
      </c>
      <c r="AH70" t="str">
        <f t="shared" si="17"/>
        <v>X</v>
      </c>
      <c r="AI70" t="str">
        <f t="shared" si="17"/>
        <v>X</v>
      </c>
      <c r="AJ70" t="str">
        <f t="shared" si="17"/>
        <v>X</v>
      </c>
      <c r="AK70" t="str">
        <f t="shared" si="17"/>
        <v>X</v>
      </c>
      <c r="AL70" t="str">
        <f t="shared" si="17"/>
        <v>X</v>
      </c>
      <c r="AM70" t="str">
        <f t="shared" si="17"/>
        <v>X</v>
      </c>
      <c r="AN70" t="str">
        <f t="shared" si="17"/>
        <v>X</v>
      </c>
      <c r="AO70" t="str">
        <f t="shared" si="17"/>
        <v>X</v>
      </c>
      <c r="AP70" t="str">
        <f t="shared" si="17"/>
        <v>X</v>
      </c>
      <c r="AQ70" t="str">
        <f t="shared" si="17"/>
        <v>X</v>
      </c>
      <c r="AR70" t="str">
        <f t="shared" si="17"/>
        <v>X</v>
      </c>
      <c r="AS70" t="str">
        <f t="shared" si="17"/>
        <v>X</v>
      </c>
      <c r="AT70" t="str">
        <f t="shared" si="17"/>
        <v>X</v>
      </c>
      <c r="AU70" t="str">
        <f t="shared" si="17"/>
        <v>X</v>
      </c>
      <c r="AV70" t="str">
        <f t="shared" si="16"/>
        <v>X</v>
      </c>
      <c r="AW70" t="str">
        <f t="shared" si="16"/>
        <v>X</v>
      </c>
      <c r="AX70" t="str">
        <f t="shared" si="16"/>
        <v>X</v>
      </c>
      <c r="AY70" t="str">
        <f t="shared" si="16"/>
        <v>X</v>
      </c>
      <c r="AZ70" t="str">
        <f t="shared" si="16"/>
        <v>X</v>
      </c>
      <c r="BA70" t="str">
        <f t="shared" si="16"/>
        <v>X</v>
      </c>
      <c r="BB70" t="str">
        <f t="shared" si="16"/>
        <v>X</v>
      </c>
    </row>
    <row r="71" spans="1:54" x14ac:dyDescent="0.55000000000000004">
      <c r="A71" s="83"/>
      <c r="B71" s="83"/>
      <c r="C71" s="54">
        <v>17.75</v>
      </c>
      <c r="D71" s="36">
        <v>1</v>
      </c>
      <c r="E71" s="36">
        <v>1</v>
      </c>
      <c r="F71" s="36">
        <v>1</v>
      </c>
      <c r="G71" s="36">
        <v>1</v>
      </c>
      <c r="H71" s="36">
        <v>1</v>
      </c>
      <c r="I71" s="36">
        <v>1</v>
      </c>
      <c r="J71" s="36">
        <v>1</v>
      </c>
      <c r="K71" s="36">
        <v>1</v>
      </c>
      <c r="L71" s="36">
        <v>1</v>
      </c>
      <c r="M71" s="36">
        <v>1</v>
      </c>
      <c r="N71" s="36">
        <v>1</v>
      </c>
      <c r="O71" s="36">
        <v>1</v>
      </c>
      <c r="P71" s="36">
        <v>1</v>
      </c>
      <c r="Q71" s="36">
        <v>1</v>
      </c>
      <c r="R71" s="36">
        <v>1</v>
      </c>
      <c r="S71" s="36">
        <v>1</v>
      </c>
      <c r="T71" s="36">
        <v>1</v>
      </c>
      <c r="U71" s="36">
        <v>1</v>
      </c>
      <c r="V71" s="36">
        <v>1</v>
      </c>
      <c r="W71" s="36">
        <v>1</v>
      </c>
      <c r="X71" s="36">
        <v>1</v>
      </c>
      <c r="Y71" s="36">
        <v>1</v>
      </c>
      <c r="Z71" s="36">
        <v>1</v>
      </c>
      <c r="AE71" s="54">
        <v>19.25</v>
      </c>
      <c r="AF71" t="str">
        <f t="shared" si="17"/>
        <v>X</v>
      </c>
      <c r="AG71" t="str">
        <f t="shared" si="17"/>
        <v>X</v>
      </c>
      <c r="AH71" t="str">
        <f t="shared" si="17"/>
        <v>X</v>
      </c>
      <c r="AI71" t="str">
        <f t="shared" si="17"/>
        <v>X</v>
      </c>
      <c r="AJ71" t="str">
        <f t="shared" si="17"/>
        <v>X</v>
      </c>
      <c r="AK71" t="str">
        <f t="shared" si="17"/>
        <v>X</v>
      </c>
      <c r="AL71" t="str">
        <f t="shared" si="17"/>
        <v>X</v>
      </c>
      <c r="AM71" t="str">
        <f t="shared" si="17"/>
        <v>X</v>
      </c>
      <c r="AN71" t="str">
        <f t="shared" si="17"/>
        <v>X</v>
      </c>
      <c r="AO71" t="str">
        <f t="shared" si="17"/>
        <v>X</v>
      </c>
      <c r="AP71" t="str">
        <f t="shared" si="17"/>
        <v>X</v>
      </c>
      <c r="AQ71" t="str">
        <f t="shared" si="17"/>
        <v>X</v>
      </c>
      <c r="AR71" t="str">
        <f t="shared" si="17"/>
        <v>X</v>
      </c>
      <c r="AS71" t="str">
        <f t="shared" si="17"/>
        <v>X</v>
      </c>
      <c r="AT71" t="str">
        <f t="shared" si="17"/>
        <v>X</v>
      </c>
      <c r="AU71" t="str">
        <f t="shared" si="17"/>
        <v>X</v>
      </c>
      <c r="AV71" t="str">
        <f t="shared" si="16"/>
        <v>X</v>
      </c>
      <c r="AW71" t="str">
        <f t="shared" si="16"/>
        <v>X</v>
      </c>
      <c r="AX71" t="str">
        <f t="shared" si="16"/>
        <v>X</v>
      </c>
      <c r="AY71" t="str">
        <f t="shared" si="16"/>
        <v>X</v>
      </c>
      <c r="AZ71" t="str">
        <f t="shared" si="16"/>
        <v>X</v>
      </c>
      <c r="BA71" t="str">
        <f t="shared" si="16"/>
        <v>X</v>
      </c>
      <c r="BB71" t="str">
        <f t="shared" si="16"/>
        <v>X</v>
      </c>
    </row>
    <row r="72" spans="1:54" x14ac:dyDescent="0.55000000000000004">
      <c r="A72" s="83"/>
      <c r="B72" s="83"/>
      <c r="C72" s="54">
        <v>18</v>
      </c>
      <c r="D72" s="36">
        <v>1</v>
      </c>
      <c r="E72" s="36">
        <v>1</v>
      </c>
      <c r="F72" s="36">
        <v>1</v>
      </c>
      <c r="G72" s="36">
        <v>1</v>
      </c>
      <c r="H72" s="36">
        <v>1</v>
      </c>
      <c r="I72" s="36">
        <v>1</v>
      </c>
      <c r="J72" s="36">
        <v>1</v>
      </c>
      <c r="K72" s="36">
        <v>1</v>
      </c>
      <c r="L72" s="36">
        <v>1</v>
      </c>
      <c r="M72" s="36">
        <v>1</v>
      </c>
      <c r="N72" s="36">
        <v>1</v>
      </c>
      <c r="O72" s="36">
        <v>1</v>
      </c>
      <c r="P72" s="36">
        <v>1</v>
      </c>
      <c r="Q72" s="36">
        <v>1</v>
      </c>
      <c r="R72" s="36">
        <v>1</v>
      </c>
      <c r="S72" s="36">
        <v>1</v>
      </c>
      <c r="T72" s="36">
        <v>1</v>
      </c>
      <c r="U72" s="36">
        <v>1</v>
      </c>
      <c r="V72" s="36">
        <v>1</v>
      </c>
      <c r="W72" s="36">
        <v>1</v>
      </c>
      <c r="X72" s="36">
        <v>1</v>
      </c>
      <c r="Y72" s="36">
        <v>1</v>
      </c>
      <c r="Z72" s="36">
        <v>1</v>
      </c>
      <c r="AE72" s="54">
        <v>19.5</v>
      </c>
      <c r="AF72" t="str">
        <f t="shared" si="17"/>
        <v>X</v>
      </c>
      <c r="AG72" t="str">
        <f t="shared" si="17"/>
        <v>X</v>
      </c>
      <c r="AH72" t="str">
        <f t="shared" si="17"/>
        <v>X</v>
      </c>
      <c r="AI72" t="str">
        <f t="shared" si="17"/>
        <v>X</v>
      </c>
      <c r="AJ72" t="str">
        <f t="shared" si="17"/>
        <v>X</v>
      </c>
      <c r="AK72" t="str">
        <f t="shared" si="17"/>
        <v>X</v>
      </c>
      <c r="AL72" t="str">
        <f t="shared" si="17"/>
        <v>X</v>
      </c>
      <c r="AM72" t="str">
        <f t="shared" si="17"/>
        <v>X</v>
      </c>
      <c r="AN72" t="str">
        <f t="shared" si="17"/>
        <v>X</v>
      </c>
      <c r="AO72" t="str">
        <f t="shared" si="17"/>
        <v>X</v>
      </c>
      <c r="AP72" t="str">
        <f t="shared" si="17"/>
        <v>X</v>
      </c>
      <c r="AQ72" t="str">
        <f t="shared" si="17"/>
        <v>X</v>
      </c>
      <c r="AR72" t="str">
        <f t="shared" si="17"/>
        <v>X</v>
      </c>
      <c r="AS72" t="str">
        <f t="shared" si="17"/>
        <v>X</v>
      </c>
      <c r="AT72" t="str">
        <f t="shared" si="17"/>
        <v>X</v>
      </c>
      <c r="AU72" t="str">
        <f t="shared" si="17"/>
        <v>X</v>
      </c>
      <c r="AV72" t="str">
        <f t="shared" si="16"/>
        <v>X</v>
      </c>
      <c r="AW72" t="str">
        <f t="shared" si="16"/>
        <v>X</v>
      </c>
      <c r="AX72" t="str">
        <f t="shared" si="16"/>
        <v>X</v>
      </c>
      <c r="AY72" t="str">
        <f t="shared" si="16"/>
        <v>X</v>
      </c>
      <c r="AZ72" t="str">
        <f t="shared" si="16"/>
        <v>X</v>
      </c>
      <c r="BA72" t="str">
        <f t="shared" si="16"/>
        <v>X</v>
      </c>
      <c r="BB72" t="str">
        <f t="shared" si="16"/>
        <v>X</v>
      </c>
    </row>
    <row r="73" spans="1:54" x14ac:dyDescent="0.55000000000000004">
      <c r="A73" s="83"/>
      <c r="B73" s="83"/>
      <c r="C73" s="54">
        <v>18.25</v>
      </c>
      <c r="D73" s="36">
        <v>1</v>
      </c>
      <c r="E73" s="36">
        <v>1</v>
      </c>
      <c r="F73" s="36">
        <v>1</v>
      </c>
      <c r="G73" s="36">
        <v>1</v>
      </c>
      <c r="H73" s="36">
        <v>1</v>
      </c>
      <c r="I73" s="36">
        <v>1</v>
      </c>
      <c r="J73" s="36">
        <v>1</v>
      </c>
      <c r="K73" s="36">
        <v>1</v>
      </c>
      <c r="L73" s="36">
        <v>1</v>
      </c>
      <c r="M73" s="36">
        <v>1</v>
      </c>
      <c r="N73" s="36">
        <v>1</v>
      </c>
      <c r="O73" s="36">
        <v>1</v>
      </c>
      <c r="P73" s="36">
        <v>1</v>
      </c>
      <c r="Q73" s="36">
        <v>1</v>
      </c>
      <c r="R73" s="36">
        <v>1</v>
      </c>
      <c r="S73" s="36">
        <v>1</v>
      </c>
      <c r="T73" s="36">
        <v>1</v>
      </c>
      <c r="U73" s="36">
        <v>1</v>
      </c>
      <c r="V73" s="36">
        <v>1</v>
      </c>
      <c r="W73" s="36">
        <v>1</v>
      </c>
      <c r="X73" s="36">
        <v>1</v>
      </c>
      <c r="Y73" s="36">
        <v>1</v>
      </c>
      <c r="Z73" s="36">
        <v>1</v>
      </c>
      <c r="AE73" s="54">
        <v>19.75</v>
      </c>
      <c r="AF73" t="str">
        <f t="shared" si="17"/>
        <v>X</v>
      </c>
      <c r="AG73" t="str">
        <f t="shared" si="17"/>
        <v>X</v>
      </c>
      <c r="AH73" t="str">
        <f t="shared" si="17"/>
        <v>X</v>
      </c>
      <c r="AI73" t="str">
        <f t="shared" si="17"/>
        <v>X</v>
      </c>
      <c r="AJ73" t="str">
        <f t="shared" si="17"/>
        <v>X</v>
      </c>
      <c r="AK73" t="str">
        <f t="shared" si="17"/>
        <v>X</v>
      </c>
      <c r="AL73" t="str">
        <f t="shared" si="17"/>
        <v>X</v>
      </c>
      <c r="AM73" t="str">
        <f t="shared" si="17"/>
        <v>X</v>
      </c>
      <c r="AN73" t="str">
        <f t="shared" si="17"/>
        <v>X</v>
      </c>
      <c r="AO73" t="str">
        <f t="shared" si="17"/>
        <v>X</v>
      </c>
      <c r="AP73" t="str">
        <f t="shared" si="17"/>
        <v>X</v>
      </c>
      <c r="AQ73" t="str">
        <f t="shared" si="17"/>
        <v>X</v>
      </c>
      <c r="AR73" t="str">
        <f t="shared" si="17"/>
        <v>X</v>
      </c>
      <c r="AS73" t="str">
        <f t="shared" si="17"/>
        <v>X</v>
      </c>
      <c r="AT73" t="str">
        <f t="shared" si="17"/>
        <v>X</v>
      </c>
      <c r="AU73" t="str">
        <f t="shared" si="17"/>
        <v>X</v>
      </c>
      <c r="AV73" t="str">
        <f t="shared" si="16"/>
        <v>X</v>
      </c>
      <c r="AW73" t="str">
        <f t="shared" si="16"/>
        <v>X</v>
      </c>
      <c r="AX73" t="str">
        <f t="shared" si="16"/>
        <v>X</v>
      </c>
      <c r="AY73" t="str">
        <f t="shared" si="16"/>
        <v>X</v>
      </c>
      <c r="AZ73" t="str">
        <f t="shared" si="16"/>
        <v>X</v>
      </c>
      <c r="BA73" t="str">
        <f t="shared" si="16"/>
        <v>X</v>
      </c>
      <c r="BB73" t="str">
        <f t="shared" si="16"/>
        <v>X</v>
      </c>
    </row>
    <row r="74" spans="1:54" x14ac:dyDescent="0.55000000000000004">
      <c r="A74" s="83"/>
      <c r="B74" s="83"/>
      <c r="C74" s="54">
        <v>18.5</v>
      </c>
      <c r="D74" s="36">
        <v>1</v>
      </c>
      <c r="E74" s="36">
        <v>1</v>
      </c>
      <c r="F74" s="36">
        <v>1</v>
      </c>
      <c r="G74" s="36">
        <v>1</v>
      </c>
      <c r="H74" s="36">
        <v>1</v>
      </c>
      <c r="I74" s="36">
        <v>1</v>
      </c>
      <c r="J74" s="36">
        <v>1</v>
      </c>
      <c r="K74" s="36">
        <v>1</v>
      </c>
      <c r="L74" s="36">
        <v>1</v>
      </c>
      <c r="M74" s="36">
        <v>1</v>
      </c>
      <c r="N74" s="36">
        <v>1</v>
      </c>
      <c r="O74" s="36">
        <v>1</v>
      </c>
      <c r="P74" s="36">
        <v>1</v>
      </c>
      <c r="Q74" s="36">
        <v>1</v>
      </c>
      <c r="R74" s="36">
        <v>1</v>
      </c>
      <c r="S74" s="36">
        <v>1</v>
      </c>
      <c r="T74" s="36">
        <v>1</v>
      </c>
      <c r="U74" s="36">
        <v>1</v>
      </c>
      <c r="V74" s="36">
        <v>1</v>
      </c>
      <c r="W74" s="36">
        <v>1</v>
      </c>
      <c r="X74" s="36">
        <v>1</v>
      </c>
      <c r="Y74" s="36">
        <v>1</v>
      </c>
      <c r="Z74" s="36">
        <v>1</v>
      </c>
      <c r="AE74" s="54">
        <v>20</v>
      </c>
      <c r="AF74" t="str">
        <f>IF($AE74&gt;=(4*AF$1),"X","")</f>
        <v>X</v>
      </c>
      <c r="AG74" t="str">
        <f t="shared" si="17"/>
        <v>X</v>
      </c>
      <c r="AH74" t="str">
        <f t="shared" si="17"/>
        <v>X</v>
      </c>
      <c r="AI74" t="str">
        <f t="shared" si="17"/>
        <v>X</v>
      </c>
      <c r="AJ74" t="str">
        <f t="shared" si="17"/>
        <v>X</v>
      </c>
      <c r="AK74" t="str">
        <f t="shared" si="17"/>
        <v>X</v>
      </c>
      <c r="AL74" t="str">
        <f t="shared" si="17"/>
        <v>X</v>
      </c>
      <c r="AM74" t="str">
        <f t="shared" si="17"/>
        <v>X</v>
      </c>
      <c r="AN74" t="str">
        <f t="shared" si="17"/>
        <v>X</v>
      </c>
      <c r="AO74" t="str">
        <f t="shared" si="17"/>
        <v>X</v>
      </c>
      <c r="AP74" t="str">
        <f t="shared" si="17"/>
        <v>X</v>
      </c>
      <c r="AQ74" t="str">
        <f t="shared" si="17"/>
        <v>X</v>
      </c>
      <c r="AR74" t="str">
        <f t="shared" si="17"/>
        <v>X</v>
      </c>
      <c r="AS74" t="str">
        <f t="shared" si="17"/>
        <v>X</v>
      </c>
      <c r="AT74" t="str">
        <f t="shared" si="17"/>
        <v>X</v>
      </c>
      <c r="AU74" t="str">
        <f t="shared" si="17"/>
        <v>X</v>
      </c>
      <c r="AV74" t="str">
        <f t="shared" si="16"/>
        <v>X</v>
      </c>
      <c r="AW74" t="str">
        <f t="shared" si="16"/>
        <v>X</v>
      </c>
      <c r="AX74" t="str">
        <f t="shared" si="16"/>
        <v>X</v>
      </c>
      <c r="AY74" t="str">
        <f t="shared" si="16"/>
        <v>X</v>
      </c>
      <c r="AZ74" t="str">
        <f t="shared" si="16"/>
        <v>X</v>
      </c>
      <c r="BA74" t="str">
        <f t="shared" si="16"/>
        <v>X</v>
      </c>
      <c r="BB74" t="str">
        <f t="shared" si="16"/>
        <v>X</v>
      </c>
    </row>
    <row r="75" spans="1:54" x14ac:dyDescent="0.55000000000000004">
      <c r="A75" s="83"/>
      <c r="B75" s="83"/>
      <c r="C75" s="54">
        <v>18.75</v>
      </c>
      <c r="D75" s="36">
        <v>1</v>
      </c>
      <c r="E75" s="36">
        <v>1</v>
      </c>
      <c r="F75" s="36">
        <v>1</v>
      </c>
      <c r="G75" s="36">
        <v>1</v>
      </c>
      <c r="H75" s="36">
        <v>1</v>
      </c>
      <c r="I75" s="36">
        <v>1</v>
      </c>
      <c r="J75" s="36">
        <v>1</v>
      </c>
      <c r="K75" s="36">
        <v>1</v>
      </c>
      <c r="L75" s="36">
        <v>1</v>
      </c>
      <c r="M75" s="36">
        <v>1</v>
      </c>
      <c r="N75" s="36">
        <v>1</v>
      </c>
      <c r="O75" s="36">
        <v>1</v>
      </c>
      <c r="P75" s="36">
        <v>1</v>
      </c>
      <c r="Q75" s="36">
        <v>1</v>
      </c>
      <c r="R75" s="36">
        <v>1</v>
      </c>
      <c r="S75" s="36">
        <v>1</v>
      </c>
      <c r="T75" s="36">
        <v>1</v>
      </c>
      <c r="U75" s="36">
        <v>1</v>
      </c>
      <c r="V75" s="36">
        <v>1</v>
      </c>
      <c r="W75" s="36">
        <v>1</v>
      </c>
      <c r="X75" s="36">
        <v>1</v>
      </c>
      <c r="Y75" s="36">
        <v>1</v>
      </c>
      <c r="Z75" s="36">
        <v>1</v>
      </c>
    </row>
    <row r="76" spans="1:54" x14ac:dyDescent="0.55000000000000004">
      <c r="A76" s="83"/>
      <c r="B76" s="83"/>
      <c r="C76" s="54">
        <v>19</v>
      </c>
      <c r="D76" s="36">
        <v>1</v>
      </c>
      <c r="E76" s="36">
        <v>1</v>
      </c>
      <c r="F76" s="36">
        <v>1</v>
      </c>
      <c r="G76" s="36">
        <v>1</v>
      </c>
      <c r="H76" s="36">
        <v>1</v>
      </c>
      <c r="I76" s="36">
        <v>1</v>
      </c>
      <c r="J76" s="36">
        <v>1</v>
      </c>
      <c r="K76" s="36">
        <v>1</v>
      </c>
      <c r="L76" s="36">
        <v>1</v>
      </c>
      <c r="M76" s="36">
        <v>1</v>
      </c>
      <c r="N76" s="36">
        <v>1</v>
      </c>
      <c r="O76" s="36">
        <v>1</v>
      </c>
      <c r="P76" s="36">
        <v>1</v>
      </c>
      <c r="Q76" s="36">
        <v>1</v>
      </c>
      <c r="R76" s="36">
        <v>1</v>
      </c>
      <c r="S76" s="36">
        <v>1</v>
      </c>
      <c r="T76" s="36">
        <v>1</v>
      </c>
      <c r="U76" s="36">
        <v>1</v>
      </c>
      <c r="V76" s="36">
        <v>1</v>
      </c>
      <c r="W76" s="36">
        <v>1</v>
      </c>
      <c r="X76" s="36">
        <v>1</v>
      </c>
      <c r="Y76" s="36">
        <v>1</v>
      </c>
      <c r="Z76" s="36">
        <v>1</v>
      </c>
    </row>
    <row r="77" spans="1:54" x14ac:dyDescent="0.55000000000000004">
      <c r="A77" s="83"/>
      <c r="B77" s="83"/>
      <c r="C77" s="54">
        <v>19.25</v>
      </c>
      <c r="D77" s="36">
        <v>1</v>
      </c>
      <c r="E77" s="36">
        <v>1</v>
      </c>
      <c r="F77" s="36">
        <v>1</v>
      </c>
      <c r="G77" s="36">
        <v>1</v>
      </c>
      <c r="H77" s="36">
        <v>1</v>
      </c>
      <c r="I77" s="36">
        <v>1</v>
      </c>
      <c r="J77" s="36">
        <v>1</v>
      </c>
      <c r="K77" s="36">
        <v>1</v>
      </c>
      <c r="L77" s="36">
        <v>1</v>
      </c>
      <c r="M77" s="36">
        <v>1</v>
      </c>
      <c r="N77" s="36">
        <v>1</v>
      </c>
      <c r="O77" s="36">
        <v>1</v>
      </c>
      <c r="P77" s="36">
        <v>1</v>
      </c>
      <c r="Q77" s="36">
        <v>1</v>
      </c>
      <c r="R77" s="36">
        <v>1</v>
      </c>
      <c r="S77" s="36">
        <v>1</v>
      </c>
      <c r="T77" s="36">
        <v>1</v>
      </c>
      <c r="U77" s="36">
        <v>1</v>
      </c>
      <c r="V77" s="36">
        <v>1</v>
      </c>
      <c r="W77" s="36">
        <v>1</v>
      </c>
      <c r="X77" s="36">
        <v>1</v>
      </c>
      <c r="Y77" s="36">
        <v>1</v>
      </c>
      <c r="Z77" s="36">
        <v>1</v>
      </c>
    </row>
    <row r="78" spans="1:54" x14ac:dyDescent="0.55000000000000004">
      <c r="A78" s="83"/>
      <c r="B78" s="83"/>
      <c r="C78" s="54">
        <v>19.5</v>
      </c>
      <c r="D78" s="36">
        <v>1</v>
      </c>
      <c r="E78" s="36">
        <v>1</v>
      </c>
      <c r="F78" s="36">
        <v>1</v>
      </c>
      <c r="G78" s="36">
        <v>1</v>
      </c>
      <c r="H78" s="36">
        <v>1</v>
      </c>
      <c r="I78" s="36">
        <v>1</v>
      </c>
      <c r="J78" s="36">
        <v>1</v>
      </c>
      <c r="K78" s="36">
        <v>1</v>
      </c>
      <c r="L78" s="36">
        <v>1</v>
      </c>
      <c r="M78" s="36">
        <v>1</v>
      </c>
      <c r="N78" s="36">
        <v>1</v>
      </c>
      <c r="O78" s="36">
        <v>1</v>
      </c>
      <c r="P78" s="36">
        <v>1</v>
      </c>
      <c r="Q78" s="36">
        <v>1</v>
      </c>
      <c r="R78" s="36">
        <v>1</v>
      </c>
      <c r="S78" s="36">
        <v>1</v>
      </c>
      <c r="T78" s="36">
        <v>1</v>
      </c>
      <c r="U78" s="36">
        <v>1</v>
      </c>
      <c r="V78" s="36">
        <v>1</v>
      </c>
      <c r="W78" s="36">
        <v>1</v>
      </c>
      <c r="X78" s="36">
        <v>1</v>
      </c>
      <c r="Y78" s="36">
        <v>1</v>
      </c>
      <c r="Z78" s="36">
        <v>1</v>
      </c>
    </row>
    <row r="79" spans="1:54" x14ac:dyDescent="0.55000000000000004">
      <c r="A79" s="83"/>
      <c r="B79" s="83"/>
      <c r="C79" s="54">
        <v>19.75</v>
      </c>
      <c r="D79" s="36">
        <v>1</v>
      </c>
      <c r="E79" s="36">
        <v>1</v>
      </c>
      <c r="F79" s="36">
        <v>1</v>
      </c>
      <c r="G79" s="36">
        <v>1</v>
      </c>
      <c r="H79" s="36">
        <v>1</v>
      </c>
      <c r="I79" s="36">
        <v>1</v>
      </c>
      <c r="J79" s="36">
        <v>1</v>
      </c>
      <c r="K79" s="36">
        <v>1</v>
      </c>
      <c r="L79" s="36">
        <v>1</v>
      </c>
      <c r="M79" s="36">
        <v>1</v>
      </c>
      <c r="N79" s="36">
        <v>1</v>
      </c>
      <c r="O79" s="36">
        <v>1</v>
      </c>
      <c r="P79" s="36">
        <v>1</v>
      </c>
      <c r="Q79" s="36">
        <v>1</v>
      </c>
      <c r="R79" s="36">
        <v>1</v>
      </c>
      <c r="S79" s="36">
        <v>1</v>
      </c>
      <c r="T79" s="36">
        <v>1</v>
      </c>
      <c r="U79" s="36">
        <v>1</v>
      </c>
      <c r="V79" s="36">
        <v>1</v>
      </c>
      <c r="W79" s="36">
        <v>1</v>
      </c>
      <c r="X79" s="36">
        <v>1</v>
      </c>
      <c r="Y79" s="36">
        <v>1</v>
      </c>
      <c r="Z79" s="36">
        <v>1</v>
      </c>
    </row>
    <row r="80" spans="1:54" x14ac:dyDescent="0.55000000000000004">
      <c r="A80" s="83"/>
      <c r="B80" s="83"/>
      <c r="C80" s="54">
        <v>20</v>
      </c>
      <c r="D80" s="36">
        <v>1</v>
      </c>
      <c r="E80" s="36">
        <v>1</v>
      </c>
      <c r="F80" s="36">
        <v>1</v>
      </c>
      <c r="G80" s="36">
        <v>1</v>
      </c>
      <c r="H80" s="36">
        <v>1</v>
      </c>
      <c r="I80" s="36">
        <v>1</v>
      </c>
      <c r="J80" s="36">
        <v>1</v>
      </c>
      <c r="K80" s="36">
        <v>1</v>
      </c>
      <c r="L80" s="36">
        <v>1</v>
      </c>
      <c r="M80" s="36">
        <v>1</v>
      </c>
      <c r="N80" s="36">
        <v>1</v>
      </c>
      <c r="O80" s="36">
        <v>1</v>
      </c>
      <c r="P80" s="36">
        <v>1</v>
      </c>
      <c r="Q80" s="36">
        <v>1</v>
      </c>
      <c r="R80" s="36">
        <v>1</v>
      </c>
      <c r="S80" s="36">
        <v>1</v>
      </c>
      <c r="T80" s="36">
        <v>1</v>
      </c>
      <c r="U80" s="36">
        <v>1</v>
      </c>
      <c r="V80" s="36">
        <v>1</v>
      </c>
      <c r="W80" s="36">
        <v>1</v>
      </c>
      <c r="X80" s="36">
        <v>1</v>
      </c>
      <c r="Y80" s="36">
        <v>1</v>
      </c>
      <c r="Z80" s="36">
        <v>1</v>
      </c>
    </row>
    <row r="82" spans="1:26" x14ac:dyDescent="0.55000000000000004">
      <c r="C82" s="48" t="s">
        <v>108</v>
      </c>
      <c r="D82" s="53">
        <v>0.4375</v>
      </c>
      <c r="E82" s="49">
        <v>0.5</v>
      </c>
      <c r="F82" s="53">
        <v>0.5625</v>
      </c>
      <c r="G82" s="49">
        <v>0.63500000000000001</v>
      </c>
      <c r="H82" s="49">
        <v>0.75</v>
      </c>
      <c r="I82" s="49">
        <v>0.875</v>
      </c>
      <c r="J82" s="49">
        <v>1</v>
      </c>
      <c r="K82" s="49">
        <v>1.125</v>
      </c>
      <c r="L82" s="49">
        <v>1.25</v>
      </c>
      <c r="M82" s="49">
        <v>1.375</v>
      </c>
      <c r="N82" s="49">
        <v>1.5</v>
      </c>
      <c r="O82" s="49">
        <v>1.635</v>
      </c>
      <c r="P82" s="49">
        <v>1.75</v>
      </c>
      <c r="Q82" s="49">
        <v>1.875</v>
      </c>
      <c r="R82" s="49">
        <v>2</v>
      </c>
      <c r="S82" s="49">
        <v>2.25</v>
      </c>
      <c r="T82" s="49">
        <v>2.5</v>
      </c>
      <c r="U82" s="49">
        <v>2.75</v>
      </c>
      <c r="V82" s="49">
        <v>3</v>
      </c>
      <c r="W82" s="49">
        <v>3.25</v>
      </c>
      <c r="X82" s="49">
        <v>3.5</v>
      </c>
      <c r="Y82" s="49">
        <v>3.75</v>
      </c>
      <c r="Z82" s="49">
        <v>4</v>
      </c>
    </row>
    <row r="83" spans="1:26" x14ac:dyDescent="0.55000000000000004">
      <c r="C83" s="48" t="s">
        <v>108</v>
      </c>
      <c r="D83" s="49" t="s">
        <v>450</v>
      </c>
      <c r="E83" s="49" t="s">
        <v>451</v>
      </c>
      <c r="F83" s="49" t="s">
        <v>452</v>
      </c>
      <c r="G83" s="49" t="s">
        <v>453</v>
      </c>
      <c r="H83" s="49" t="s">
        <v>454</v>
      </c>
      <c r="I83" s="49" t="s">
        <v>455</v>
      </c>
      <c r="J83" s="49" t="s">
        <v>456</v>
      </c>
      <c r="K83" s="49" t="s">
        <v>457</v>
      </c>
      <c r="L83" s="49" t="s">
        <v>458</v>
      </c>
      <c r="M83" s="49" t="s">
        <v>459</v>
      </c>
      <c r="N83" s="49" t="s">
        <v>460</v>
      </c>
      <c r="O83" s="49" t="s">
        <v>461</v>
      </c>
      <c r="P83" s="49" t="s">
        <v>462</v>
      </c>
      <c r="Q83" s="49" t="s">
        <v>463</v>
      </c>
      <c r="R83" s="49" t="s">
        <v>464</v>
      </c>
      <c r="S83" s="49" t="s">
        <v>465</v>
      </c>
      <c r="T83" s="49" t="s">
        <v>466</v>
      </c>
      <c r="U83" s="49" t="s">
        <v>467</v>
      </c>
      <c r="V83" s="49" t="s">
        <v>468</v>
      </c>
      <c r="W83" s="49" t="s">
        <v>469</v>
      </c>
      <c r="X83" s="49" t="s">
        <v>470</v>
      </c>
      <c r="Y83" s="49" t="s">
        <v>471</v>
      </c>
      <c r="Z83" s="49" t="s">
        <v>472</v>
      </c>
    </row>
    <row r="84" spans="1:26" x14ac:dyDescent="0.55000000000000004">
      <c r="C84" s="52" t="s">
        <v>480</v>
      </c>
      <c r="D84" s="49">
        <v>1.52E-2</v>
      </c>
      <c r="E84" s="49">
        <v>2.0899999999999998E-2</v>
      </c>
      <c r="F84" s="49">
        <v>2.5899999999999999E-2</v>
      </c>
      <c r="G84" s="49">
        <v>3.3000000000000002E-2</v>
      </c>
      <c r="H84" s="49">
        <v>4.8599999999999997E-2</v>
      </c>
      <c r="I84" s="49">
        <v>6.6600000000000006E-2</v>
      </c>
      <c r="J84" s="49">
        <v>8.7400000000000005E-2</v>
      </c>
      <c r="K84" s="49">
        <v>0.11260000000000001</v>
      </c>
      <c r="L84" s="49">
        <v>0.14119999999999999</v>
      </c>
      <c r="M84" s="49">
        <v>0.1729</v>
      </c>
      <c r="N84" s="49">
        <v>0.20830000000000001</v>
      </c>
      <c r="O84" s="49">
        <v>0.2465</v>
      </c>
      <c r="P84" s="49">
        <v>0.28860000000000002</v>
      </c>
      <c r="Q84" s="49">
        <v>0.33279999999999998</v>
      </c>
      <c r="R84" s="49">
        <v>0.37959999999999999</v>
      </c>
      <c r="S84" s="49">
        <v>0.48620000000000002</v>
      </c>
      <c r="T84" s="49">
        <v>0.60580000000000001</v>
      </c>
      <c r="U84" s="49">
        <v>0.73580000000000001</v>
      </c>
      <c r="V84" s="49">
        <v>0.88139999999999996</v>
      </c>
      <c r="W84" s="49">
        <v>1.0529999999999999</v>
      </c>
      <c r="X84" s="49">
        <v>1.2272000000000001</v>
      </c>
      <c r="Y84" s="49">
        <v>1.3779999999999999</v>
      </c>
      <c r="Z84" s="49">
        <v>1.5829</v>
      </c>
    </row>
    <row r="85" spans="1:26" x14ac:dyDescent="0.55000000000000004">
      <c r="C85" s="52" t="s">
        <v>481</v>
      </c>
      <c r="D85" s="49">
        <v>1.9E-2</v>
      </c>
      <c r="E85" s="49">
        <v>0.03</v>
      </c>
      <c r="F85" s="49">
        <v>3.7000000000000005E-2</v>
      </c>
      <c r="G85" s="49">
        <v>5.4000000000000006E-2</v>
      </c>
      <c r="H85" s="49">
        <v>8.8000000000000009E-2</v>
      </c>
      <c r="I85" s="49">
        <v>0.13500000000000001</v>
      </c>
      <c r="J85" s="49">
        <v>0.193</v>
      </c>
      <c r="K85" s="49">
        <v>0.26899999999999996</v>
      </c>
      <c r="L85" s="49">
        <v>0.35700000000000004</v>
      </c>
      <c r="M85" s="49">
        <v>0.46299999999999997</v>
      </c>
      <c r="N85" s="49">
        <v>0.59499999999999997</v>
      </c>
      <c r="O85" s="49">
        <v>0.73599999999999999</v>
      </c>
      <c r="P85" s="49">
        <v>0.92700000000000005</v>
      </c>
      <c r="Q85" s="49">
        <v>1.095</v>
      </c>
      <c r="R85" s="49">
        <v>1.3580000000000001</v>
      </c>
      <c r="S85" s="49">
        <v>1.903</v>
      </c>
      <c r="T85" s="49">
        <v>2.56</v>
      </c>
      <c r="U85" s="49">
        <v>3.35</v>
      </c>
      <c r="V85" s="49">
        <v>4.32</v>
      </c>
      <c r="W85" s="49">
        <v>5.43</v>
      </c>
      <c r="X85" s="49">
        <v>6.94</v>
      </c>
      <c r="Y85" s="49">
        <v>8.24</v>
      </c>
      <c r="Z85" s="49">
        <v>9.91</v>
      </c>
    </row>
    <row r="86" spans="1:26" x14ac:dyDescent="0.55000000000000004">
      <c r="A86" s="83" t="s">
        <v>482</v>
      </c>
      <c r="B86" s="83" t="s">
        <v>369</v>
      </c>
      <c r="C86" s="15">
        <v>2</v>
      </c>
      <c r="D86" s="36">
        <f>IF($C86&gt;=(4*D$82),((($C86*D$84)+(2*D$85))*1),"-")</f>
        <v>6.8400000000000002E-2</v>
      </c>
      <c r="E86" s="36">
        <f t="shared" ref="E86:Z97" si="18">IF($C86&gt;=(4*E$82),((($C86*E$84)+(2*E$85))*1),"-")</f>
        <v>0.1018</v>
      </c>
      <c r="F86" s="36" t="str">
        <f t="shared" si="18"/>
        <v>-</v>
      </c>
      <c r="G86" s="36" t="str">
        <f t="shared" si="18"/>
        <v>-</v>
      </c>
      <c r="H86" s="36" t="str">
        <f t="shared" si="18"/>
        <v>-</v>
      </c>
      <c r="I86" s="36" t="str">
        <f t="shared" si="18"/>
        <v>-</v>
      </c>
      <c r="J86" s="36" t="str">
        <f t="shared" si="18"/>
        <v>-</v>
      </c>
      <c r="K86" s="36" t="str">
        <f t="shared" si="18"/>
        <v>-</v>
      </c>
      <c r="L86" s="36" t="str">
        <f t="shared" si="18"/>
        <v>-</v>
      </c>
      <c r="M86" s="36" t="str">
        <f t="shared" si="18"/>
        <v>-</v>
      </c>
      <c r="N86" s="36" t="str">
        <f t="shared" si="18"/>
        <v>-</v>
      </c>
      <c r="O86" s="36" t="str">
        <f t="shared" si="18"/>
        <v>-</v>
      </c>
      <c r="P86" s="36" t="str">
        <f t="shared" si="18"/>
        <v>-</v>
      </c>
      <c r="Q86" s="36" t="str">
        <f t="shared" si="18"/>
        <v>-</v>
      </c>
      <c r="R86" s="36" t="str">
        <f t="shared" si="18"/>
        <v>-</v>
      </c>
      <c r="S86" s="36" t="str">
        <f t="shared" si="18"/>
        <v>-</v>
      </c>
      <c r="T86" s="36" t="str">
        <f t="shared" si="18"/>
        <v>-</v>
      </c>
      <c r="U86" s="36" t="str">
        <f t="shared" si="18"/>
        <v>-</v>
      </c>
      <c r="V86" s="36" t="str">
        <f t="shared" si="18"/>
        <v>-</v>
      </c>
      <c r="W86" s="36" t="str">
        <f t="shared" si="18"/>
        <v>-</v>
      </c>
      <c r="X86" s="36" t="str">
        <f t="shared" si="18"/>
        <v>-</v>
      </c>
      <c r="Y86" s="36" t="str">
        <f t="shared" si="18"/>
        <v>-</v>
      </c>
      <c r="Z86" s="36" t="str">
        <f t="shared" si="18"/>
        <v>-</v>
      </c>
    </row>
    <row r="87" spans="1:26" x14ac:dyDescent="0.55000000000000004">
      <c r="A87" s="83"/>
      <c r="B87" s="83"/>
      <c r="C87" s="15">
        <v>2.25</v>
      </c>
      <c r="D87" s="36">
        <f t="shared" ref="D87:S113" si="19">IF($C87&gt;=(4*D$82),((($C87*D$84)+(2*D$85))*1),"-")</f>
        <v>7.22E-2</v>
      </c>
      <c r="E87" s="36">
        <f t="shared" si="18"/>
        <v>0.107025</v>
      </c>
      <c r="F87" s="36">
        <f t="shared" si="18"/>
        <v>0.132275</v>
      </c>
      <c r="G87" s="36" t="str">
        <f t="shared" si="18"/>
        <v>-</v>
      </c>
      <c r="H87" s="36" t="str">
        <f t="shared" si="18"/>
        <v>-</v>
      </c>
      <c r="I87" s="36" t="str">
        <f t="shared" si="18"/>
        <v>-</v>
      </c>
      <c r="J87" s="36" t="str">
        <f t="shared" si="18"/>
        <v>-</v>
      </c>
      <c r="K87" s="36" t="str">
        <f t="shared" si="18"/>
        <v>-</v>
      </c>
      <c r="L87" s="36" t="str">
        <f t="shared" si="18"/>
        <v>-</v>
      </c>
      <c r="M87" s="36" t="str">
        <f t="shared" si="18"/>
        <v>-</v>
      </c>
      <c r="N87" s="36" t="str">
        <f t="shared" si="18"/>
        <v>-</v>
      </c>
      <c r="O87" s="36" t="str">
        <f t="shared" si="18"/>
        <v>-</v>
      </c>
      <c r="P87" s="36" t="str">
        <f t="shared" si="18"/>
        <v>-</v>
      </c>
      <c r="Q87" s="36" t="str">
        <f t="shared" si="18"/>
        <v>-</v>
      </c>
      <c r="R87" s="36" t="str">
        <f t="shared" si="18"/>
        <v>-</v>
      </c>
      <c r="S87" s="36" t="str">
        <f t="shared" si="18"/>
        <v>-</v>
      </c>
      <c r="T87" s="36" t="str">
        <f t="shared" si="18"/>
        <v>-</v>
      </c>
      <c r="U87" s="36" t="str">
        <f t="shared" si="18"/>
        <v>-</v>
      </c>
      <c r="V87" s="36" t="str">
        <f t="shared" si="18"/>
        <v>-</v>
      </c>
      <c r="W87" s="36" t="str">
        <f t="shared" si="18"/>
        <v>-</v>
      </c>
      <c r="X87" s="36" t="str">
        <f t="shared" si="18"/>
        <v>-</v>
      </c>
      <c r="Y87" s="36" t="str">
        <f t="shared" si="18"/>
        <v>-</v>
      </c>
      <c r="Z87" s="36" t="str">
        <f t="shared" si="18"/>
        <v>-</v>
      </c>
    </row>
    <row r="88" spans="1:26" x14ac:dyDescent="0.55000000000000004">
      <c r="A88" s="83"/>
      <c r="B88" s="83"/>
      <c r="C88" s="15">
        <v>2.5</v>
      </c>
      <c r="D88" s="36">
        <f t="shared" si="19"/>
        <v>7.5999999999999998E-2</v>
      </c>
      <c r="E88" s="36">
        <f t="shared" si="18"/>
        <v>0.11224999999999999</v>
      </c>
      <c r="F88" s="36">
        <f t="shared" si="18"/>
        <v>0.13875000000000001</v>
      </c>
      <c r="G88" s="36" t="str">
        <f t="shared" si="18"/>
        <v>-</v>
      </c>
      <c r="H88" s="36" t="str">
        <f t="shared" si="18"/>
        <v>-</v>
      </c>
      <c r="I88" s="36" t="str">
        <f t="shared" si="18"/>
        <v>-</v>
      </c>
      <c r="J88" s="36" t="str">
        <f t="shared" si="18"/>
        <v>-</v>
      </c>
      <c r="K88" s="36" t="str">
        <f t="shared" si="18"/>
        <v>-</v>
      </c>
      <c r="L88" s="36" t="str">
        <f t="shared" si="18"/>
        <v>-</v>
      </c>
      <c r="M88" s="36" t="str">
        <f t="shared" si="18"/>
        <v>-</v>
      </c>
      <c r="N88" s="36" t="str">
        <f t="shared" si="18"/>
        <v>-</v>
      </c>
      <c r="O88" s="36" t="str">
        <f t="shared" si="18"/>
        <v>-</v>
      </c>
      <c r="P88" s="36" t="str">
        <f t="shared" si="18"/>
        <v>-</v>
      </c>
      <c r="Q88" s="36" t="str">
        <f t="shared" si="18"/>
        <v>-</v>
      </c>
      <c r="R88" s="36" t="str">
        <f t="shared" si="18"/>
        <v>-</v>
      </c>
      <c r="S88" s="36" t="str">
        <f t="shared" si="18"/>
        <v>-</v>
      </c>
      <c r="T88" s="36" t="str">
        <f t="shared" si="18"/>
        <v>-</v>
      </c>
      <c r="U88" s="36" t="str">
        <f t="shared" si="18"/>
        <v>-</v>
      </c>
      <c r="V88" s="36" t="str">
        <f t="shared" si="18"/>
        <v>-</v>
      </c>
      <c r="W88" s="36" t="str">
        <f t="shared" si="18"/>
        <v>-</v>
      </c>
      <c r="X88" s="36" t="str">
        <f t="shared" si="18"/>
        <v>-</v>
      </c>
      <c r="Y88" s="36" t="str">
        <f t="shared" si="18"/>
        <v>-</v>
      </c>
      <c r="Z88" s="36" t="str">
        <f t="shared" si="18"/>
        <v>-</v>
      </c>
    </row>
    <row r="89" spans="1:26" x14ac:dyDescent="0.55000000000000004">
      <c r="A89" s="83"/>
      <c r="B89" s="83"/>
      <c r="C89" s="15">
        <v>2.75</v>
      </c>
      <c r="D89" s="36">
        <f t="shared" si="19"/>
        <v>7.9799999999999996E-2</v>
      </c>
      <c r="E89" s="36">
        <f t="shared" si="18"/>
        <v>0.117475</v>
      </c>
      <c r="F89" s="36">
        <f t="shared" si="18"/>
        <v>0.14522499999999999</v>
      </c>
      <c r="G89" s="36">
        <f t="shared" si="18"/>
        <v>0.19875000000000001</v>
      </c>
      <c r="H89" s="36" t="str">
        <f t="shared" si="18"/>
        <v>-</v>
      </c>
      <c r="I89" s="36" t="str">
        <f t="shared" si="18"/>
        <v>-</v>
      </c>
      <c r="J89" s="36" t="str">
        <f t="shared" si="18"/>
        <v>-</v>
      </c>
      <c r="K89" s="36" t="str">
        <f t="shared" si="18"/>
        <v>-</v>
      </c>
      <c r="L89" s="36" t="str">
        <f t="shared" si="18"/>
        <v>-</v>
      </c>
      <c r="M89" s="36" t="str">
        <f t="shared" si="18"/>
        <v>-</v>
      </c>
      <c r="N89" s="36" t="str">
        <f t="shared" si="18"/>
        <v>-</v>
      </c>
      <c r="O89" s="36" t="str">
        <f t="shared" si="18"/>
        <v>-</v>
      </c>
      <c r="P89" s="36" t="str">
        <f t="shared" si="18"/>
        <v>-</v>
      </c>
      <c r="Q89" s="36" t="str">
        <f t="shared" si="18"/>
        <v>-</v>
      </c>
      <c r="R89" s="36" t="str">
        <f t="shared" si="18"/>
        <v>-</v>
      </c>
      <c r="S89" s="36" t="str">
        <f t="shared" si="18"/>
        <v>-</v>
      </c>
      <c r="T89" s="36" t="str">
        <f t="shared" si="18"/>
        <v>-</v>
      </c>
      <c r="U89" s="36" t="str">
        <f t="shared" si="18"/>
        <v>-</v>
      </c>
      <c r="V89" s="36" t="str">
        <f t="shared" si="18"/>
        <v>-</v>
      </c>
      <c r="W89" s="36" t="str">
        <f t="shared" si="18"/>
        <v>-</v>
      </c>
      <c r="X89" s="36" t="str">
        <f t="shared" si="18"/>
        <v>-</v>
      </c>
      <c r="Y89" s="36" t="str">
        <f t="shared" si="18"/>
        <v>-</v>
      </c>
      <c r="Z89" s="36" t="str">
        <f t="shared" si="18"/>
        <v>-</v>
      </c>
    </row>
    <row r="90" spans="1:26" x14ac:dyDescent="0.55000000000000004">
      <c r="A90" s="83"/>
      <c r="B90" s="83"/>
      <c r="C90" s="15">
        <v>3</v>
      </c>
      <c r="D90" s="36">
        <f t="shared" si="19"/>
        <v>8.3600000000000008E-2</v>
      </c>
      <c r="E90" s="36">
        <f t="shared" si="18"/>
        <v>0.12269999999999999</v>
      </c>
      <c r="F90" s="36">
        <f t="shared" si="18"/>
        <v>0.1517</v>
      </c>
      <c r="G90" s="36">
        <f t="shared" si="18"/>
        <v>0.20700000000000002</v>
      </c>
      <c r="H90" s="36">
        <f t="shared" si="18"/>
        <v>0.32179999999999997</v>
      </c>
      <c r="I90" s="36" t="str">
        <f t="shared" si="18"/>
        <v>-</v>
      </c>
      <c r="J90" s="36" t="str">
        <f t="shared" si="18"/>
        <v>-</v>
      </c>
      <c r="K90" s="36" t="str">
        <f t="shared" si="18"/>
        <v>-</v>
      </c>
      <c r="L90" s="36" t="str">
        <f t="shared" si="18"/>
        <v>-</v>
      </c>
      <c r="M90" s="36" t="str">
        <f t="shared" si="18"/>
        <v>-</v>
      </c>
      <c r="N90" s="36" t="str">
        <f t="shared" si="18"/>
        <v>-</v>
      </c>
      <c r="O90" s="36" t="str">
        <f t="shared" si="18"/>
        <v>-</v>
      </c>
      <c r="P90" s="36" t="str">
        <f t="shared" si="18"/>
        <v>-</v>
      </c>
      <c r="Q90" s="36" t="str">
        <f t="shared" si="18"/>
        <v>-</v>
      </c>
      <c r="R90" s="36" t="str">
        <f t="shared" si="18"/>
        <v>-</v>
      </c>
      <c r="S90" s="36" t="str">
        <f t="shared" si="18"/>
        <v>-</v>
      </c>
      <c r="T90" s="36" t="str">
        <f t="shared" si="18"/>
        <v>-</v>
      </c>
      <c r="U90" s="36" t="str">
        <f t="shared" si="18"/>
        <v>-</v>
      </c>
      <c r="V90" s="36" t="str">
        <f t="shared" si="18"/>
        <v>-</v>
      </c>
      <c r="W90" s="36" t="str">
        <f t="shared" si="18"/>
        <v>-</v>
      </c>
      <c r="X90" s="36" t="str">
        <f t="shared" si="18"/>
        <v>-</v>
      </c>
      <c r="Y90" s="36" t="str">
        <f t="shared" si="18"/>
        <v>-</v>
      </c>
      <c r="Z90" s="36" t="str">
        <f t="shared" si="18"/>
        <v>-</v>
      </c>
    </row>
    <row r="91" spans="1:26" x14ac:dyDescent="0.55000000000000004">
      <c r="A91" s="83"/>
      <c r="B91" s="83"/>
      <c r="C91" s="15">
        <v>3.25</v>
      </c>
      <c r="D91" s="36">
        <f t="shared" si="19"/>
        <v>8.7400000000000005E-2</v>
      </c>
      <c r="E91" s="36">
        <f t="shared" si="18"/>
        <v>0.12792500000000001</v>
      </c>
      <c r="F91" s="36">
        <f t="shared" si="18"/>
        <v>0.15817500000000001</v>
      </c>
      <c r="G91" s="36">
        <f t="shared" si="18"/>
        <v>0.21525000000000002</v>
      </c>
      <c r="H91" s="36">
        <f t="shared" si="18"/>
        <v>0.33394999999999997</v>
      </c>
      <c r="I91" s="36" t="str">
        <f t="shared" si="18"/>
        <v>-</v>
      </c>
      <c r="J91" s="36" t="str">
        <f t="shared" si="18"/>
        <v>-</v>
      </c>
      <c r="K91" s="36" t="str">
        <f t="shared" si="18"/>
        <v>-</v>
      </c>
      <c r="L91" s="36" t="str">
        <f t="shared" si="18"/>
        <v>-</v>
      </c>
      <c r="M91" s="36" t="str">
        <f t="shared" si="18"/>
        <v>-</v>
      </c>
      <c r="N91" s="36" t="str">
        <f t="shared" si="18"/>
        <v>-</v>
      </c>
      <c r="O91" s="36" t="str">
        <f t="shared" si="18"/>
        <v>-</v>
      </c>
      <c r="P91" s="36" t="str">
        <f t="shared" si="18"/>
        <v>-</v>
      </c>
      <c r="Q91" s="36" t="str">
        <f t="shared" si="18"/>
        <v>-</v>
      </c>
      <c r="R91" s="36" t="str">
        <f t="shared" si="18"/>
        <v>-</v>
      </c>
      <c r="S91" s="36" t="str">
        <f t="shared" si="18"/>
        <v>-</v>
      </c>
      <c r="T91" s="36" t="str">
        <f t="shared" si="18"/>
        <v>-</v>
      </c>
      <c r="U91" s="36" t="str">
        <f t="shared" si="18"/>
        <v>-</v>
      </c>
      <c r="V91" s="36" t="str">
        <f t="shared" si="18"/>
        <v>-</v>
      </c>
      <c r="W91" s="36" t="str">
        <f t="shared" si="18"/>
        <v>-</v>
      </c>
      <c r="X91" s="36" t="str">
        <f t="shared" si="18"/>
        <v>-</v>
      </c>
      <c r="Y91" s="36" t="str">
        <f t="shared" si="18"/>
        <v>-</v>
      </c>
      <c r="Z91" s="36" t="str">
        <f t="shared" si="18"/>
        <v>-</v>
      </c>
    </row>
    <row r="92" spans="1:26" x14ac:dyDescent="0.55000000000000004">
      <c r="A92" s="83"/>
      <c r="B92" s="83"/>
      <c r="C92" s="15">
        <v>3.5</v>
      </c>
      <c r="D92" s="36">
        <f t="shared" si="19"/>
        <v>9.1200000000000003E-2</v>
      </c>
      <c r="E92" s="36">
        <f t="shared" si="18"/>
        <v>0.13314999999999999</v>
      </c>
      <c r="F92" s="36">
        <f t="shared" si="18"/>
        <v>0.16465000000000002</v>
      </c>
      <c r="G92" s="36">
        <f t="shared" si="18"/>
        <v>0.22350000000000003</v>
      </c>
      <c r="H92" s="36">
        <f t="shared" si="18"/>
        <v>0.34610000000000002</v>
      </c>
      <c r="I92" s="36">
        <f t="shared" si="18"/>
        <v>0.5031000000000001</v>
      </c>
      <c r="J92" s="36" t="str">
        <f t="shared" si="18"/>
        <v>-</v>
      </c>
      <c r="K92" s="36" t="str">
        <f t="shared" si="18"/>
        <v>-</v>
      </c>
      <c r="L92" s="36" t="str">
        <f t="shared" si="18"/>
        <v>-</v>
      </c>
      <c r="M92" s="36" t="str">
        <f t="shared" si="18"/>
        <v>-</v>
      </c>
      <c r="N92" s="36" t="str">
        <f t="shared" si="18"/>
        <v>-</v>
      </c>
      <c r="O92" s="36" t="str">
        <f t="shared" si="18"/>
        <v>-</v>
      </c>
      <c r="P92" s="36" t="str">
        <f t="shared" si="18"/>
        <v>-</v>
      </c>
      <c r="Q92" s="36" t="str">
        <f t="shared" si="18"/>
        <v>-</v>
      </c>
      <c r="R92" s="36" t="str">
        <f t="shared" si="18"/>
        <v>-</v>
      </c>
      <c r="S92" s="36" t="str">
        <f t="shared" si="18"/>
        <v>-</v>
      </c>
      <c r="T92" s="36" t="str">
        <f t="shared" si="18"/>
        <v>-</v>
      </c>
      <c r="U92" s="36" t="str">
        <f t="shared" si="18"/>
        <v>-</v>
      </c>
      <c r="V92" s="36" t="str">
        <f t="shared" si="18"/>
        <v>-</v>
      </c>
      <c r="W92" s="36" t="str">
        <f t="shared" si="18"/>
        <v>-</v>
      </c>
      <c r="X92" s="36" t="str">
        <f t="shared" si="18"/>
        <v>-</v>
      </c>
      <c r="Y92" s="36" t="str">
        <f t="shared" si="18"/>
        <v>-</v>
      </c>
      <c r="Z92" s="36" t="str">
        <f t="shared" si="18"/>
        <v>-</v>
      </c>
    </row>
    <row r="93" spans="1:26" x14ac:dyDescent="0.55000000000000004">
      <c r="A93" s="83"/>
      <c r="B93" s="83"/>
      <c r="C93" s="15">
        <v>3.75</v>
      </c>
      <c r="D93" s="36">
        <f t="shared" si="19"/>
        <v>9.5000000000000001E-2</v>
      </c>
      <c r="E93" s="36">
        <f t="shared" si="18"/>
        <v>0.138375</v>
      </c>
      <c r="F93" s="36">
        <f t="shared" si="18"/>
        <v>0.17112500000000003</v>
      </c>
      <c r="G93" s="36">
        <f t="shared" si="18"/>
        <v>0.23175000000000001</v>
      </c>
      <c r="H93" s="36">
        <f t="shared" si="18"/>
        <v>0.35825000000000001</v>
      </c>
      <c r="I93" s="36">
        <f t="shared" si="18"/>
        <v>0.51975000000000005</v>
      </c>
      <c r="J93" s="36" t="str">
        <f t="shared" si="18"/>
        <v>-</v>
      </c>
      <c r="K93" s="36" t="str">
        <f t="shared" si="18"/>
        <v>-</v>
      </c>
      <c r="L93" s="36" t="str">
        <f t="shared" si="18"/>
        <v>-</v>
      </c>
      <c r="M93" s="36" t="str">
        <f t="shared" si="18"/>
        <v>-</v>
      </c>
      <c r="N93" s="36" t="str">
        <f t="shared" si="18"/>
        <v>-</v>
      </c>
      <c r="O93" s="36" t="str">
        <f t="shared" si="18"/>
        <v>-</v>
      </c>
      <c r="P93" s="36" t="str">
        <f t="shared" si="18"/>
        <v>-</v>
      </c>
      <c r="Q93" s="36" t="str">
        <f t="shared" si="18"/>
        <v>-</v>
      </c>
      <c r="R93" s="36" t="str">
        <f t="shared" si="18"/>
        <v>-</v>
      </c>
      <c r="S93" s="36" t="str">
        <f t="shared" si="18"/>
        <v>-</v>
      </c>
      <c r="T93" s="36" t="str">
        <f t="shared" si="18"/>
        <v>-</v>
      </c>
      <c r="U93" s="36" t="str">
        <f t="shared" si="18"/>
        <v>-</v>
      </c>
      <c r="V93" s="36" t="str">
        <f t="shared" si="18"/>
        <v>-</v>
      </c>
      <c r="W93" s="36" t="str">
        <f t="shared" si="18"/>
        <v>-</v>
      </c>
      <c r="X93" s="36" t="str">
        <f t="shared" si="18"/>
        <v>-</v>
      </c>
      <c r="Y93" s="36" t="str">
        <f t="shared" si="18"/>
        <v>-</v>
      </c>
      <c r="Z93" s="36" t="str">
        <f t="shared" si="18"/>
        <v>-</v>
      </c>
    </row>
    <row r="94" spans="1:26" x14ac:dyDescent="0.55000000000000004">
      <c r="A94" s="83"/>
      <c r="B94" s="83"/>
      <c r="C94" s="15">
        <v>4</v>
      </c>
      <c r="D94" s="36">
        <f t="shared" si="19"/>
        <v>9.8799999999999999E-2</v>
      </c>
      <c r="E94" s="36">
        <f t="shared" si="18"/>
        <v>0.14360000000000001</v>
      </c>
      <c r="F94" s="36">
        <f t="shared" si="18"/>
        <v>0.17760000000000001</v>
      </c>
      <c r="G94" s="36">
        <f t="shared" si="18"/>
        <v>0.24000000000000002</v>
      </c>
      <c r="H94" s="36">
        <f t="shared" si="18"/>
        <v>0.37040000000000001</v>
      </c>
      <c r="I94" s="36">
        <f t="shared" si="18"/>
        <v>0.53639999999999999</v>
      </c>
      <c r="J94" s="36">
        <f t="shared" si="18"/>
        <v>0.73560000000000003</v>
      </c>
      <c r="K94" s="36" t="str">
        <f t="shared" si="18"/>
        <v>-</v>
      </c>
      <c r="L94" s="36" t="str">
        <f t="shared" si="18"/>
        <v>-</v>
      </c>
      <c r="M94" s="36" t="str">
        <f t="shared" si="18"/>
        <v>-</v>
      </c>
      <c r="N94" s="36" t="str">
        <f t="shared" si="18"/>
        <v>-</v>
      </c>
      <c r="O94" s="36" t="str">
        <f t="shared" si="18"/>
        <v>-</v>
      </c>
      <c r="P94" s="36" t="str">
        <f t="shared" si="18"/>
        <v>-</v>
      </c>
      <c r="Q94" s="36" t="str">
        <f t="shared" si="18"/>
        <v>-</v>
      </c>
      <c r="R94" s="36" t="str">
        <f t="shared" si="18"/>
        <v>-</v>
      </c>
      <c r="S94" s="36" t="str">
        <f t="shared" si="18"/>
        <v>-</v>
      </c>
      <c r="T94" s="36" t="str">
        <f t="shared" si="18"/>
        <v>-</v>
      </c>
      <c r="U94" s="36" t="str">
        <f t="shared" si="18"/>
        <v>-</v>
      </c>
      <c r="V94" s="36" t="str">
        <f t="shared" si="18"/>
        <v>-</v>
      </c>
      <c r="W94" s="36" t="str">
        <f t="shared" si="18"/>
        <v>-</v>
      </c>
      <c r="X94" s="36" t="str">
        <f t="shared" si="18"/>
        <v>-</v>
      </c>
      <c r="Y94" s="36" t="str">
        <f t="shared" si="18"/>
        <v>-</v>
      </c>
      <c r="Z94" s="36" t="str">
        <f t="shared" si="18"/>
        <v>-</v>
      </c>
    </row>
    <row r="95" spans="1:26" x14ac:dyDescent="0.55000000000000004">
      <c r="A95" s="83"/>
      <c r="B95" s="83"/>
      <c r="C95" s="15">
        <v>4.25</v>
      </c>
      <c r="D95" s="36">
        <f t="shared" si="19"/>
        <v>0.1026</v>
      </c>
      <c r="E95" s="36">
        <f t="shared" si="18"/>
        <v>0.14882499999999999</v>
      </c>
      <c r="F95" s="36">
        <f t="shared" si="18"/>
        <v>0.18407499999999999</v>
      </c>
      <c r="G95" s="36">
        <f t="shared" si="18"/>
        <v>0.24825000000000003</v>
      </c>
      <c r="H95" s="36">
        <f t="shared" si="18"/>
        <v>0.38255</v>
      </c>
      <c r="I95" s="36">
        <f t="shared" si="18"/>
        <v>0.55305000000000004</v>
      </c>
      <c r="J95" s="36">
        <f t="shared" si="18"/>
        <v>0.75744999999999996</v>
      </c>
      <c r="K95" s="36" t="str">
        <f t="shared" si="18"/>
        <v>-</v>
      </c>
      <c r="L95" s="36" t="str">
        <f t="shared" si="18"/>
        <v>-</v>
      </c>
      <c r="M95" s="36" t="str">
        <f t="shared" si="18"/>
        <v>-</v>
      </c>
      <c r="N95" s="36" t="str">
        <f t="shared" si="18"/>
        <v>-</v>
      </c>
      <c r="O95" s="36" t="str">
        <f t="shared" si="18"/>
        <v>-</v>
      </c>
      <c r="P95" s="36" t="str">
        <f t="shared" si="18"/>
        <v>-</v>
      </c>
      <c r="Q95" s="36" t="str">
        <f t="shared" si="18"/>
        <v>-</v>
      </c>
      <c r="R95" s="36" t="str">
        <f t="shared" si="18"/>
        <v>-</v>
      </c>
      <c r="S95" s="36" t="str">
        <f t="shared" si="18"/>
        <v>-</v>
      </c>
      <c r="T95" s="36" t="str">
        <f t="shared" si="18"/>
        <v>-</v>
      </c>
      <c r="U95" s="36" t="str">
        <f t="shared" si="18"/>
        <v>-</v>
      </c>
      <c r="V95" s="36" t="str">
        <f t="shared" si="18"/>
        <v>-</v>
      </c>
      <c r="W95" s="36" t="str">
        <f t="shared" si="18"/>
        <v>-</v>
      </c>
      <c r="X95" s="36" t="str">
        <f t="shared" si="18"/>
        <v>-</v>
      </c>
      <c r="Y95" s="36" t="str">
        <f t="shared" si="18"/>
        <v>-</v>
      </c>
      <c r="Z95" s="36" t="str">
        <f t="shared" si="18"/>
        <v>-</v>
      </c>
    </row>
    <row r="96" spans="1:26" x14ac:dyDescent="0.55000000000000004">
      <c r="A96" s="83"/>
      <c r="B96" s="83"/>
      <c r="C96" s="15">
        <v>4.5</v>
      </c>
      <c r="D96" s="36">
        <f t="shared" si="19"/>
        <v>0.10639999999999999</v>
      </c>
      <c r="E96" s="36">
        <f t="shared" si="18"/>
        <v>0.15404999999999999</v>
      </c>
      <c r="F96" s="36">
        <f t="shared" si="18"/>
        <v>0.19055</v>
      </c>
      <c r="G96" s="36">
        <f t="shared" si="18"/>
        <v>0.25650000000000006</v>
      </c>
      <c r="H96" s="36">
        <f t="shared" si="18"/>
        <v>0.3947</v>
      </c>
      <c r="I96" s="36">
        <f t="shared" si="18"/>
        <v>0.5697000000000001</v>
      </c>
      <c r="J96" s="36">
        <f t="shared" si="18"/>
        <v>0.7793000000000001</v>
      </c>
      <c r="K96" s="36">
        <f t="shared" si="18"/>
        <v>1.0447</v>
      </c>
      <c r="L96" s="36" t="str">
        <f t="shared" si="18"/>
        <v>-</v>
      </c>
      <c r="M96" s="36" t="str">
        <f t="shared" si="18"/>
        <v>-</v>
      </c>
      <c r="N96" s="36" t="str">
        <f t="shared" si="18"/>
        <v>-</v>
      </c>
      <c r="O96" s="36" t="str">
        <f t="shared" si="18"/>
        <v>-</v>
      </c>
      <c r="P96" s="36" t="str">
        <f t="shared" si="18"/>
        <v>-</v>
      </c>
      <c r="Q96" s="36" t="str">
        <f t="shared" si="18"/>
        <v>-</v>
      </c>
      <c r="R96" s="36" t="str">
        <f t="shared" si="18"/>
        <v>-</v>
      </c>
      <c r="S96" s="36" t="str">
        <f t="shared" si="18"/>
        <v>-</v>
      </c>
      <c r="T96" s="36" t="str">
        <f t="shared" si="18"/>
        <v>-</v>
      </c>
      <c r="U96" s="36" t="str">
        <f t="shared" si="18"/>
        <v>-</v>
      </c>
      <c r="V96" s="36" t="str">
        <f t="shared" si="18"/>
        <v>-</v>
      </c>
      <c r="W96" s="36" t="str">
        <f t="shared" si="18"/>
        <v>-</v>
      </c>
      <c r="X96" s="36" t="str">
        <f t="shared" si="18"/>
        <v>-</v>
      </c>
      <c r="Y96" s="36" t="str">
        <f t="shared" si="18"/>
        <v>-</v>
      </c>
      <c r="Z96" s="36" t="str">
        <f t="shared" si="18"/>
        <v>-</v>
      </c>
    </row>
    <row r="97" spans="1:26" x14ac:dyDescent="0.55000000000000004">
      <c r="A97" s="83"/>
      <c r="B97" s="83"/>
      <c r="C97" s="15">
        <v>4.75</v>
      </c>
      <c r="D97" s="36">
        <f t="shared" si="19"/>
        <v>0.11019999999999999</v>
      </c>
      <c r="E97" s="36">
        <f t="shared" si="18"/>
        <v>0.159275</v>
      </c>
      <c r="F97" s="36">
        <f t="shared" si="18"/>
        <v>0.19702500000000001</v>
      </c>
      <c r="G97" s="36">
        <f t="shared" si="18"/>
        <v>0.26475000000000004</v>
      </c>
      <c r="H97" s="36">
        <f t="shared" si="18"/>
        <v>0.40685000000000004</v>
      </c>
      <c r="I97" s="36">
        <f t="shared" si="18"/>
        <v>0.58635000000000004</v>
      </c>
      <c r="J97" s="36">
        <f t="shared" si="18"/>
        <v>0.80115000000000003</v>
      </c>
      <c r="K97" s="36">
        <f t="shared" si="18"/>
        <v>1.0728499999999999</v>
      </c>
      <c r="L97" s="36" t="str">
        <f t="shared" si="18"/>
        <v>-</v>
      </c>
      <c r="M97" s="36" t="str">
        <f t="shared" si="18"/>
        <v>-</v>
      </c>
      <c r="N97" s="36" t="str">
        <f t="shared" si="18"/>
        <v>-</v>
      </c>
      <c r="O97" s="36" t="str">
        <f t="shared" si="18"/>
        <v>-</v>
      </c>
      <c r="P97" s="36" t="str">
        <f t="shared" si="18"/>
        <v>-</v>
      </c>
      <c r="Q97" s="36" t="str">
        <f t="shared" si="18"/>
        <v>-</v>
      </c>
      <c r="R97" s="36" t="str">
        <f t="shared" ref="R97:Z128" si="20">IF($C97&gt;=(4*R$82),((($C97*R$84)+(2*R$85))*1),"-")</f>
        <v>-</v>
      </c>
      <c r="S97" s="36" t="str">
        <f t="shared" si="20"/>
        <v>-</v>
      </c>
      <c r="T97" s="36" t="str">
        <f t="shared" si="20"/>
        <v>-</v>
      </c>
      <c r="U97" s="36" t="str">
        <f t="shared" si="20"/>
        <v>-</v>
      </c>
      <c r="V97" s="36" t="str">
        <f t="shared" si="20"/>
        <v>-</v>
      </c>
      <c r="W97" s="36" t="str">
        <f t="shared" si="20"/>
        <v>-</v>
      </c>
      <c r="X97" s="36" t="str">
        <f t="shared" si="20"/>
        <v>-</v>
      </c>
      <c r="Y97" s="36" t="str">
        <f t="shared" si="20"/>
        <v>-</v>
      </c>
      <c r="Z97" s="36" t="str">
        <f t="shared" si="20"/>
        <v>-</v>
      </c>
    </row>
    <row r="98" spans="1:26" x14ac:dyDescent="0.55000000000000004">
      <c r="A98" s="83"/>
      <c r="B98" s="83"/>
      <c r="C98" s="15">
        <v>5</v>
      </c>
      <c r="D98" s="36">
        <f t="shared" si="19"/>
        <v>0.11399999999999999</v>
      </c>
      <c r="E98" s="36">
        <f t="shared" si="19"/>
        <v>0.16449999999999998</v>
      </c>
      <c r="F98" s="36">
        <f t="shared" si="19"/>
        <v>0.20350000000000001</v>
      </c>
      <c r="G98" s="36">
        <f t="shared" si="19"/>
        <v>0.27300000000000002</v>
      </c>
      <c r="H98" s="36">
        <f t="shared" si="19"/>
        <v>0.41900000000000004</v>
      </c>
      <c r="I98" s="36">
        <f t="shared" si="19"/>
        <v>0.60299999999999998</v>
      </c>
      <c r="J98" s="36">
        <f t="shared" si="19"/>
        <v>0.82300000000000006</v>
      </c>
      <c r="K98" s="36">
        <f t="shared" si="19"/>
        <v>1.101</v>
      </c>
      <c r="L98" s="36">
        <f t="shared" si="19"/>
        <v>1.42</v>
      </c>
      <c r="M98" s="36" t="str">
        <f t="shared" si="19"/>
        <v>-</v>
      </c>
      <c r="N98" s="36" t="str">
        <f t="shared" si="19"/>
        <v>-</v>
      </c>
      <c r="O98" s="36" t="str">
        <f t="shared" si="19"/>
        <v>-</v>
      </c>
      <c r="P98" s="36" t="str">
        <f t="shared" si="19"/>
        <v>-</v>
      </c>
      <c r="Q98" s="36" t="str">
        <f t="shared" si="19"/>
        <v>-</v>
      </c>
      <c r="R98" s="36" t="str">
        <f t="shared" si="19"/>
        <v>-</v>
      </c>
      <c r="S98" s="36" t="str">
        <f t="shared" si="19"/>
        <v>-</v>
      </c>
      <c r="T98" s="36" t="str">
        <f t="shared" si="20"/>
        <v>-</v>
      </c>
      <c r="U98" s="36" t="str">
        <f t="shared" si="20"/>
        <v>-</v>
      </c>
      <c r="V98" s="36" t="str">
        <f t="shared" si="20"/>
        <v>-</v>
      </c>
      <c r="W98" s="36" t="str">
        <f t="shared" si="20"/>
        <v>-</v>
      </c>
      <c r="X98" s="36" t="str">
        <f t="shared" si="20"/>
        <v>-</v>
      </c>
      <c r="Y98" s="36" t="str">
        <f t="shared" si="20"/>
        <v>-</v>
      </c>
      <c r="Z98" s="36" t="str">
        <f t="shared" si="20"/>
        <v>-</v>
      </c>
    </row>
    <row r="99" spans="1:26" x14ac:dyDescent="0.55000000000000004">
      <c r="A99" s="83"/>
      <c r="B99" s="83"/>
      <c r="C99" s="15">
        <v>5.25</v>
      </c>
      <c r="D99" s="36">
        <f t="shared" si="19"/>
        <v>0.11779999999999999</v>
      </c>
      <c r="E99" s="36">
        <f t="shared" si="19"/>
        <v>0.16972499999999999</v>
      </c>
      <c r="F99" s="36">
        <f t="shared" si="19"/>
        <v>0.20997499999999999</v>
      </c>
      <c r="G99" s="36">
        <f t="shared" si="19"/>
        <v>0.28125</v>
      </c>
      <c r="H99" s="36">
        <f t="shared" si="19"/>
        <v>0.43115000000000003</v>
      </c>
      <c r="I99" s="36">
        <f t="shared" si="19"/>
        <v>0.61965000000000003</v>
      </c>
      <c r="J99" s="36">
        <f t="shared" si="19"/>
        <v>0.8448500000000001</v>
      </c>
      <c r="K99" s="36">
        <f t="shared" si="19"/>
        <v>1.1291500000000001</v>
      </c>
      <c r="L99" s="36">
        <f t="shared" si="19"/>
        <v>1.4553</v>
      </c>
      <c r="M99" s="36" t="str">
        <f t="shared" si="19"/>
        <v>-</v>
      </c>
      <c r="N99" s="36" t="str">
        <f t="shared" si="19"/>
        <v>-</v>
      </c>
      <c r="O99" s="36" t="str">
        <f t="shared" si="19"/>
        <v>-</v>
      </c>
      <c r="P99" s="36" t="str">
        <f t="shared" si="19"/>
        <v>-</v>
      </c>
      <c r="Q99" s="36" t="str">
        <f t="shared" si="19"/>
        <v>-</v>
      </c>
      <c r="R99" s="36" t="str">
        <f t="shared" si="19"/>
        <v>-</v>
      </c>
      <c r="S99" s="36" t="str">
        <f t="shared" si="19"/>
        <v>-</v>
      </c>
      <c r="T99" s="36" t="str">
        <f t="shared" si="20"/>
        <v>-</v>
      </c>
      <c r="U99" s="36" t="str">
        <f t="shared" si="20"/>
        <v>-</v>
      </c>
      <c r="V99" s="36" t="str">
        <f t="shared" si="20"/>
        <v>-</v>
      </c>
      <c r="W99" s="36" t="str">
        <f t="shared" si="20"/>
        <v>-</v>
      </c>
      <c r="X99" s="36" t="str">
        <f t="shared" si="20"/>
        <v>-</v>
      </c>
      <c r="Y99" s="36" t="str">
        <f t="shared" si="20"/>
        <v>-</v>
      </c>
      <c r="Z99" s="36" t="str">
        <f t="shared" si="20"/>
        <v>-</v>
      </c>
    </row>
    <row r="100" spans="1:26" x14ac:dyDescent="0.55000000000000004">
      <c r="A100" s="83"/>
      <c r="B100" s="83"/>
      <c r="C100" s="15">
        <v>5.5</v>
      </c>
      <c r="D100" s="36">
        <f t="shared" si="19"/>
        <v>0.12159999999999999</v>
      </c>
      <c r="E100" s="36">
        <f t="shared" si="19"/>
        <v>0.17494999999999999</v>
      </c>
      <c r="F100" s="36">
        <f t="shared" si="19"/>
        <v>0.21645</v>
      </c>
      <c r="G100" s="36">
        <f t="shared" si="19"/>
        <v>0.28949999999999998</v>
      </c>
      <c r="H100" s="36">
        <f t="shared" si="19"/>
        <v>0.44330000000000003</v>
      </c>
      <c r="I100" s="36">
        <f t="shared" si="19"/>
        <v>0.63630000000000009</v>
      </c>
      <c r="J100" s="36">
        <f t="shared" si="19"/>
        <v>0.86670000000000003</v>
      </c>
      <c r="K100" s="36">
        <f t="shared" si="19"/>
        <v>1.1573</v>
      </c>
      <c r="L100" s="36">
        <f t="shared" si="19"/>
        <v>1.4906000000000001</v>
      </c>
      <c r="M100" s="36">
        <f t="shared" si="19"/>
        <v>1.8769499999999999</v>
      </c>
      <c r="N100" s="36" t="str">
        <f t="shared" si="19"/>
        <v>-</v>
      </c>
      <c r="O100" s="36" t="str">
        <f t="shared" si="19"/>
        <v>-</v>
      </c>
      <c r="P100" s="36" t="str">
        <f t="shared" si="19"/>
        <v>-</v>
      </c>
      <c r="Q100" s="36" t="str">
        <f t="shared" si="19"/>
        <v>-</v>
      </c>
      <c r="R100" s="36" t="str">
        <f t="shared" si="19"/>
        <v>-</v>
      </c>
      <c r="S100" s="36" t="str">
        <f t="shared" si="19"/>
        <v>-</v>
      </c>
      <c r="T100" s="36" t="str">
        <f t="shared" si="20"/>
        <v>-</v>
      </c>
      <c r="U100" s="36" t="str">
        <f t="shared" si="20"/>
        <v>-</v>
      </c>
      <c r="V100" s="36" t="str">
        <f t="shared" si="20"/>
        <v>-</v>
      </c>
      <c r="W100" s="36" t="str">
        <f t="shared" si="20"/>
        <v>-</v>
      </c>
      <c r="X100" s="36" t="str">
        <f t="shared" si="20"/>
        <v>-</v>
      </c>
      <c r="Y100" s="36" t="str">
        <f t="shared" si="20"/>
        <v>-</v>
      </c>
      <c r="Z100" s="36" t="str">
        <f t="shared" si="20"/>
        <v>-</v>
      </c>
    </row>
    <row r="101" spans="1:26" x14ac:dyDescent="0.55000000000000004">
      <c r="A101" s="83"/>
      <c r="B101" s="83"/>
      <c r="C101" s="15">
        <v>5.75</v>
      </c>
      <c r="D101" s="36">
        <f t="shared" si="19"/>
        <v>0.12540000000000001</v>
      </c>
      <c r="E101" s="36">
        <f t="shared" si="19"/>
        <v>0.18017499999999997</v>
      </c>
      <c r="F101" s="36">
        <f t="shared" si="19"/>
        <v>0.22292500000000001</v>
      </c>
      <c r="G101" s="36">
        <f t="shared" si="19"/>
        <v>0.29775000000000001</v>
      </c>
      <c r="H101" s="36">
        <f t="shared" si="19"/>
        <v>0.45545000000000002</v>
      </c>
      <c r="I101" s="36">
        <f t="shared" si="19"/>
        <v>0.65295000000000003</v>
      </c>
      <c r="J101" s="36">
        <f t="shared" si="19"/>
        <v>0.88855000000000006</v>
      </c>
      <c r="K101" s="36">
        <f t="shared" si="19"/>
        <v>1.1854499999999999</v>
      </c>
      <c r="L101" s="36">
        <f t="shared" si="19"/>
        <v>1.5259</v>
      </c>
      <c r="M101" s="36">
        <f t="shared" si="19"/>
        <v>1.920175</v>
      </c>
      <c r="N101" s="36" t="str">
        <f t="shared" si="19"/>
        <v>-</v>
      </c>
      <c r="O101" s="36" t="str">
        <f t="shared" si="19"/>
        <v>-</v>
      </c>
      <c r="P101" s="36" t="str">
        <f t="shared" si="19"/>
        <v>-</v>
      </c>
      <c r="Q101" s="36" t="str">
        <f t="shared" si="19"/>
        <v>-</v>
      </c>
      <c r="R101" s="36" t="str">
        <f t="shared" si="19"/>
        <v>-</v>
      </c>
      <c r="S101" s="36" t="str">
        <f t="shared" si="19"/>
        <v>-</v>
      </c>
      <c r="T101" s="36" t="str">
        <f t="shared" si="20"/>
        <v>-</v>
      </c>
      <c r="U101" s="36" t="str">
        <f t="shared" si="20"/>
        <v>-</v>
      </c>
      <c r="V101" s="36" t="str">
        <f t="shared" si="20"/>
        <v>-</v>
      </c>
      <c r="W101" s="36" t="str">
        <f t="shared" si="20"/>
        <v>-</v>
      </c>
      <c r="X101" s="36" t="str">
        <f t="shared" si="20"/>
        <v>-</v>
      </c>
      <c r="Y101" s="36" t="str">
        <f t="shared" si="20"/>
        <v>-</v>
      </c>
      <c r="Z101" s="36" t="str">
        <f t="shared" si="20"/>
        <v>-</v>
      </c>
    </row>
    <row r="102" spans="1:26" x14ac:dyDescent="0.55000000000000004">
      <c r="A102" s="83"/>
      <c r="B102" s="83"/>
      <c r="C102" s="15">
        <v>6</v>
      </c>
      <c r="D102" s="36">
        <f t="shared" si="19"/>
        <v>0.12920000000000001</v>
      </c>
      <c r="E102" s="36">
        <f t="shared" si="19"/>
        <v>0.18539999999999998</v>
      </c>
      <c r="F102" s="36">
        <f t="shared" si="19"/>
        <v>0.22939999999999999</v>
      </c>
      <c r="G102" s="36">
        <f t="shared" si="19"/>
        <v>0.30600000000000005</v>
      </c>
      <c r="H102" s="36">
        <f t="shared" si="19"/>
        <v>0.46760000000000002</v>
      </c>
      <c r="I102" s="36">
        <f t="shared" si="19"/>
        <v>0.66960000000000008</v>
      </c>
      <c r="J102" s="36">
        <f t="shared" si="19"/>
        <v>0.91039999999999999</v>
      </c>
      <c r="K102" s="36">
        <f t="shared" si="19"/>
        <v>1.2136</v>
      </c>
      <c r="L102" s="36">
        <f t="shared" si="19"/>
        <v>1.5611999999999999</v>
      </c>
      <c r="M102" s="36">
        <f t="shared" si="19"/>
        <v>1.9633999999999998</v>
      </c>
      <c r="N102" s="36">
        <f t="shared" si="19"/>
        <v>2.4398</v>
      </c>
      <c r="O102" s="36" t="str">
        <f t="shared" si="19"/>
        <v>-</v>
      </c>
      <c r="P102" s="36" t="str">
        <f t="shared" si="19"/>
        <v>-</v>
      </c>
      <c r="Q102" s="36" t="str">
        <f t="shared" si="19"/>
        <v>-</v>
      </c>
      <c r="R102" s="36" t="str">
        <f t="shared" si="19"/>
        <v>-</v>
      </c>
      <c r="S102" s="36" t="str">
        <f t="shared" si="19"/>
        <v>-</v>
      </c>
      <c r="T102" s="36" t="str">
        <f t="shared" si="20"/>
        <v>-</v>
      </c>
      <c r="U102" s="36" t="str">
        <f t="shared" si="20"/>
        <v>-</v>
      </c>
      <c r="V102" s="36" t="str">
        <f t="shared" si="20"/>
        <v>-</v>
      </c>
      <c r="W102" s="36" t="str">
        <f t="shared" si="20"/>
        <v>-</v>
      </c>
      <c r="X102" s="36" t="str">
        <f t="shared" si="20"/>
        <v>-</v>
      </c>
      <c r="Y102" s="36" t="str">
        <f t="shared" si="20"/>
        <v>-</v>
      </c>
      <c r="Z102" s="36" t="str">
        <f t="shared" si="20"/>
        <v>-</v>
      </c>
    </row>
    <row r="103" spans="1:26" x14ac:dyDescent="0.55000000000000004">
      <c r="A103" s="83"/>
      <c r="B103" s="83"/>
      <c r="C103" s="15">
        <v>6.25</v>
      </c>
      <c r="D103" s="36">
        <f t="shared" si="19"/>
        <v>0.13300000000000001</v>
      </c>
      <c r="E103" s="36">
        <f t="shared" si="19"/>
        <v>0.19062499999999999</v>
      </c>
      <c r="F103" s="36">
        <f t="shared" si="19"/>
        <v>0.235875</v>
      </c>
      <c r="G103" s="36">
        <f t="shared" si="19"/>
        <v>0.31425000000000003</v>
      </c>
      <c r="H103" s="36">
        <f t="shared" si="19"/>
        <v>0.47975000000000001</v>
      </c>
      <c r="I103" s="36">
        <f t="shared" si="19"/>
        <v>0.68625000000000003</v>
      </c>
      <c r="J103" s="36">
        <f t="shared" si="19"/>
        <v>0.93225000000000002</v>
      </c>
      <c r="K103" s="36">
        <f t="shared" si="19"/>
        <v>1.2417499999999999</v>
      </c>
      <c r="L103" s="36">
        <f t="shared" si="19"/>
        <v>1.5965</v>
      </c>
      <c r="M103" s="36">
        <f t="shared" si="19"/>
        <v>2.0066249999999997</v>
      </c>
      <c r="N103" s="36">
        <f t="shared" si="19"/>
        <v>2.4918750000000003</v>
      </c>
      <c r="O103" s="36" t="str">
        <f t="shared" si="19"/>
        <v>-</v>
      </c>
      <c r="P103" s="36" t="str">
        <f t="shared" si="19"/>
        <v>-</v>
      </c>
      <c r="Q103" s="36" t="str">
        <f t="shared" si="19"/>
        <v>-</v>
      </c>
      <c r="R103" s="36" t="str">
        <f t="shared" si="19"/>
        <v>-</v>
      </c>
      <c r="S103" s="36" t="str">
        <f t="shared" si="19"/>
        <v>-</v>
      </c>
      <c r="T103" s="36" t="str">
        <f t="shared" si="20"/>
        <v>-</v>
      </c>
      <c r="U103" s="36" t="str">
        <f t="shared" si="20"/>
        <v>-</v>
      </c>
      <c r="V103" s="36" t="str">
        <f t="shared" si="20"/>
        <v>-</v>
      </c>
      <c r="W103" s="36" t="str">
        <f t="shared" si="20"/>
        <v>-</v>
      </c>
      <c r="X103" s="36" t="str">
        <f t="shared" si="20"/>
        <v>-</v>
      </c>
      <c r="Y103" s="36" t="str">
        <f t="shared" si="20"/>
        <v>-</v>
      </c>
      <c r="Z103" s="36" t="str">
        <f t="shared" si="20"/>
        <v>-</v>
      </c>
    </row>
    <row r="104" spans="1:26" x14ac:dyDescent="0.55000000000000004">
      <c r="A104" s="83"/>
      <c r="B104" s="83"/>
      <c r="C104" s="15">
        <v>6.5</v>
      </c>
      <c r="D104" s="36">
        <f t="shared" si="19"/>
        <v>0.1368</v>
      </c>
      <c r="E104" s="36">
        <f t="shared" si="19"/>
        <v>0.19585</v>
      </c>
      <c r="F104" s="36">
        <f t="shared" si="19"/>
        <v>0.24235000000000001</v>
      </c>
      <c r="G104" s="36">
        <f t="shared" si="19"/>
        <v>0.32250000000000001</v>
      </c>
      <c r="H104" s="36">
        <f t="shared" si="19"/>
        <v>0.4919</v>
      </c>
      <c r="I104" s="36">
        <f t="shared" si="19"/>
        <v>0.70290000000000008</v>
      </c>
      <c r="J104" s="36">
        <f t="shared" si="19"/>
        <v>0.95410000000000006</v>
      </c>
      <c r="K104" s="36">
        <f t="shared" si="19"/>
        <v>1.2698999999999998</v>
      </c>
      <c r="L104" s="36">
        <f t="shared" si="19"/>
        <v>1.6318000000000001</v>
      </c>
      <c r="M104" s="36">
        <f t="shared" si="19"/>
        <v>2.0498500000000002</v>
      </c>
      <c r="N104" s="36">
        <f t="shared" si="19"/>
        <v>2.5439499999999997</v>
      </c>
      <c r="O104" s="36" t="str">
        <f t="shared" si="19"/>
        <v>-</v>
      </c>
      <c r="P104" s="36" t="str">
        <f t="shared" si="19"/>
        <v>-</v>
      </c>
      <c r="Q104" s="36" t="str">
        <f t="shared" si="19"/>
        <v>-</v>
      </c>
      <c r="R104" s="36" t="str">
        <f t="shared" si="19"/>
        <v>-</v>
      </c>
      <c r="S104" s="36" t="str">
        <f t="shared" si="19"/>
        <v>-</v>
      </c>
      <c r="T104" s="36" t="str">
        <f t="shared" si="20"/>
        <v>-</v>
      </c>
      <c r="U104" s="36" t="str">
        <f t="shared" si="20"/>
        <v>-</v>
      </c>
      <c r="V104" s="36" t="str">
        <f t="shared" si="20"/>
        <v>-</v>
      </c>
      <c r="W104" s="36" t="str">
        <f t="shared" si="20"/>
        <v>-</v>
      </c>
      <c r="X104" s="36" t="str">
        <f t="shared" si="20"/>
        <v>-</v>
      </c>
      <c r="Y104" s="36" t="str">
        <f t="shared" si="20"/>
        <v>-</v>
      </c>
      <c r="Z104" s="36" t="str">
        <f t="shared" si="20"/>
        <v>-</v>
      </c>
    </row>
    <row r="105" spans="1:26" x14ac:dyDescent="0.55000000000000004">
      <c r="A105" s="83"/>
      <c r="B105" s="83"/>
      <c r="C105" s="15">
        <v>6.75</v>
      </c>
      <c r="D105" s="36">
        <f t="shared" si="19"/>
        <v>0.1406</v>
      </c>
      <c r="E105" s="36">
        <f t="shared" si="19"/>
        <v>0.20107499999999998</v>
      </c>
      <c r="F105" s="36">
        <f t="shared" si="19"/>
        <v>0.24882500000000002</v>
      </c>
      <c r="G105" s="36">
        <f t="shared" si="19"/>
        <v>0.33074999999999999</v>
      </c>
      <c r="H105" s="36">
        <f t="shared" si="19"/>
        <v>0.50405</v>
      </c>
      <c r="I105" s="36">
        <f t="shared" si="19"/>
        <v>0.71955000000000013</v>
      </c>
      <c r="J105" s="36">
        <f t="shared" si="19"/>
        <v>0.9759500000000001</v>
      </c>
      <c r="K105" s="36">
        <f t="shared" si="19"/>
        <v>1.2980499999999999</v>
      </c>
      <c r="L105" s="36">
        <f t="shared" si="19"/>
        <v>1.6671</v>
      </c>
      <c r="M105" s="36">
        <f t="shared" si="19"/>
        <v>2.0930749999999998</v>
      </c>
      <c r="N105" s="36">
        <f t="shared" si="19"/>
        <v>2.596025</v>
      </c>
      <c r="O105" s="36">
        <f t="shared" si="19"/>
        <v>3.135875</v>
      </c>
      <c r="P105" s="36" t="str">
        <f t="shared" si="19"/>
        <v>-</v>
      </c>
      <c r="Q105" s="36" t="str">
        <f t="shared" si="19"/>
        <v>-</v>
      </c>
      <c r="R105" s="36" t="str">
        <f t="shared" si="19"/>
        <v>-</v>
      </c>
      <c r="S105" s="36" t="str">
        <f t="shared" si="19"/>
        <v>-</v>
      </c>
      <c r="T105" s="36" t="str">
        <f t="shared" si="20"/>
        <v>-</v>
      </c>
      <c r="U105" s="36" t="str">
        <f t="shared" si="20"/>
        <v>-</v>
      </c>
      <c r="V105" s="36" t="str">
        <f t="shared" si="20"/>
        <v>-</v>
      </c>
      <c r="W105" s="36" t="str">
        <f t="shared" si="20"/>
        <v>-</v>
      </c>
      <c r="X105" s="36" t="str">
        <f t="shared" si="20"/>
        <v>-</v>
      </c>
      <c r="Y105" s="36" t="str">
        <f t="shared" si="20"/>
        <v>-</v>
      </c>
      <c r="Z105" s="36" t="str">
        <f t="shared" si="20"/>
        <v>-</v>
      </c>
    </row>
    <row r="106" spans="1:26" x14ac:dyDescent="0.55000000000000004">
      <c r="A106" s="83"/>
      <c r="B106" s="83"/>
      <c r="C106" s="15">
        <v>7</v>
      </c>
      <c r="D106" s="36">
        <f t="shared" si="19"/>
        <v>0.1444</v>
      </c>
      <c r="E106" s="36">
        <f t="shared" si="19"/>
        <v>0.20629999999999998</v>
      </c>
      <c r="F106" s="36">
        <f t="shared" si="19"/>
        <v>0.25529999999999997</v>
      </c>
      <c r="G106" s="36">
        <f t="shared" si="19"/>
        <v>0.33900000000000002</v>
      </c>
      <c r="H106" s="36">
        <f t="shared" si="19"/>
        <v>0.51619999999999999</v>
      </c>
      <c r="I106" s="36">
        <f t="shared" si="19"/>
        <v>0.73620000000000008</v>
      </c>
      <c r="J106" s="36">
        <f t="shared" si="19"/>
        <v>0.99780000000000002</v>
      </c>
      <c r="K106" s="36">
        <f t="shared" si="19"/>
        <v>1.3262</v>
      </c>
      <c r="L106" s="36">
        <f t="shared" si="19"/>
        <v>1.7023999999999999</v>
      </c>
      <c r="M106" s="36">
        <f t="shared" si="19"/>
        <v>2.1362999999999999</v>
      </c>
      <c r="N106" s="36">
        <f t="shared" si="19"/>
        <v>2.6481000000000003</v>
      </c>
      <c r="O106" s="36">
        <f t="shared" si="19"/>
        <v>3.1974999999999998</v>
      </c>
      <c r="P106" s="36">
        <f t="shared" si="19"/>
        <v>3.8742000000000001</v>
      </c>
      <c r="Q106" s="36" t="str">
        <f t="shared" si="19"/>
        <v>-</v>
      </c>
      <c r="R106" s="36" t="str">
        <f t="shared" si="19"/>
        <v>-</v>
      </c>
      <c r="S106" s="36" t="str">
        <f t="shared" si="19"/>
        <v>-</v>
      </c>
      <c r="T106" s="36" t="str">
        <f t="shared" si="20"/>
        <v>-</v>
      </c>
      <c r="U106" s="36" t="str">
        <f t="shared" si="20"/>
        <v>-</v>
      </c>
      <c r="V106" s="36" t="str">
        <f t="shared" si="20"/>
        <v>-</v>
      </c>
      <c r="W106" s="36" t="str">
        <f t="shared" si="20"/>
        <v>-</v>
      </c>
      <c r="X106" s="36" t="str">
        <f t="shared" si="20"/>
        <v>-</v>
      </c>
      <c r="Y106" s="36" t="str">
        <f t="shared" si="20"/>
        <v>-</v>
      </c>
      <c r="Z106" s="36" t="str">
        <f t="shared" si="20"/>
        <v>-</v>
      </c>
    </row>
    <row r="107" spans="1:26" x14ac:dyDescent="0.55000000000000004">
      <c r="A107" s="83"/>
      <c r="B107" s="83"/>
      <c r="C107" s="15">
        <v>7.25</v>
      </c>
      <c r="D107" s="36">
        <f t="shared" si="19"/>
        <v>0.1482</v>
      </c>
      <c r="E107" s="36">
        <f t="shared" si="19"/>
        <v>0.21152499999999999</v>
      </c>
      <c r="F107" s="36">
        <f t="shared" si="19"/>
        <v>0.26177499999999998</v>
      </c>
      <c r="G107" s="36">
        <f t="shared" si="19"/>
        <v>0.34725000000000006</v>
      </c>
      <c r="H107" s="36">
        <f t="shared" si="19"/>
        <v>0.52834999999999999</v>
      </c>
      <c r="I107" s="36">
        <f t="shared" si="19"/>
        <v>0.75285000000000002</v>
      </c>
      <c r="J107" s="36">
        <f t="shared" si="19"/>
        <v>1.0196499999999999</v>
      </c>
      <c r="K107" s="36">
        <f t="shared" si="19"/>
        <v>1.3543499999999999</v>
      </c>
      <c r="L107" s="36">
        <f t="shared" si="19"/>
        <v>1.7376999999999998</v>
      </c>
      <c r="M107" s="36">
        <f t="shared" si="19"/>
        <v>2.1795249999999999</v>
      </c>
      <c r="N107" s="36">
        <f t="shared" si="19"/>
        <v>2.7001749999999998</v>
      </c>
      <c r="O107" s="36">
        <f t="shared" si="19"/>
        <v>3.259125</v>
      </c>
      <c r="P107" s="36">
        <f t="shared" si="19"/>
        <v>3.9463500000000002</v>
      </c>
      <c r="Q107" s="36" t="str">
        <f t="shared" si="19"/>
        <v>-</v>
      </c>
      <c r="R107" s="36" t="str">
        <f t="shared" si="19"/>
        <v>-</v>
      </c>
      <c r="S107" s="36" t="str">
        <f t="shared" si="19"/>
        <v>-</v>
      </c>
      <c r="T107" s="36" t="str">
        <f t="shared" si="20"/>
        <v>-</v>
      </c>
      <c r="U107" s="36" t="str">
        <f t="shared" si="20"/>
        <v>-</v>
      </c>
      <c r="V107" s="36" t="str">
        <f t="shared" si="20"/>
        <v>-</v>
      </c>
      <c r="W107" s="36" t="str">
        <f t="shared" si="20"/>
        <v>-</v>
      </c>
      <c r="X107" s="36" t="str">
        <f t="shared" si="20"/>
        <v>-</v>
      </c>
      <c r="Y107" s="36" t="str">
        <f t="shared" si="20"/>
        <v>-</v>
      </c>
      <c r="Z107" s="36" t="str">
        <f t="shared" si="20"/>
        <v>-</v>
      </c>
    </row>
    <row r="108" spans="1:26" x14ac:dyDescent="0.55000000000000004">
      <c r="A108" s="83"/>
      <c r="B108" s="83"/>
      <c r="C108" s="15">
        <v>7.5</v>
      </c>
      <c r="D108" s="36">
        <f t="shared" si="19"/>
        <v>0.152</v>
      </c>
      <c r="E108" s="36">
        <f t="shared" si="19"/>
        <v>0.21675</v>
      </c>
      <c r="F108" s="36">
        <f t="shared" si="19"/>
        <v>0.26824999999999999</v>
      </c>
      <c r="G108" s="36">
        <f t="shared" si="19"/>
        <v>0.35550000000000004</v>
      </c>
      <c r="H108" s="36">
        <f t="shared" si="19"/>
        <v>0.54049999999999998</v>
      </c>
      <c r="I108" s="36">
        <f t="shared" si="19"/>
        <v>0.76950000000000007</v>
      </c>
      <c r="J108" s="36">
        <f t="shared" si="19"/>
        <v>1.0415000000000001</v>
      </c>
      <c r="K108" s="36">
        <f t="shared" si="19"/>
        <v>1.3824999999999998</v>
      </c>
      <c r="L108" s="36">
        <f t="shared" si="19"/>
        <v>1.7730000000000001</v>
      </c>
      <c r="M108" s="36">
        <f t="shared" si="19"/>
        <v>2.22275</v>
      </c>
      <c r="N108" s="36">
        <f t="shared" si="19"/>
        <v>2.7522500000000001</v>
      </c>
      <c r="O108" s="36">
        <f t="shared" si="19"/>
        <v>3.3207499999999999</v>
      </c>
      <c r="P108" s="36">
        <f t="shared" si="19"/>
        <v>4.0185000000000004</v>
      </c>
      <c r="Q108" s="36">
        <f t="shared" si="19"/>
        <v>4.6859999999999999</v>
      </c>
      <c r="R108" s="36" t="str">
        <f t="shared" si="19"/>
        <v>-</v>
      </c>
      <c r="S108" s="36" t="str">
        <f t="shared" si="19"/>
        <v>-</v>
      </c>
      <c r="T108" s="36" t="str">
        <f t="shared" si="20"/>
        <v>-</v>
      </c>
      <c r="U108" s="36" t="str">
        <f t="shared" si="20"/>
        <v>-</v>
      </c>
      <c r="V108" s="36" t="str">
        <f t="shared" si="20"/>
        <v>-</v>
      </c>
      <c r="W108" s="36" t="str">
        <f t="shared" si="20"/>
        <v>-</v>
      </c>
      <c r="X108" s="36" t="str">
        <f t="shared" si="20"/>
        <v>-</v>
      </c>
      <c r="Y108" s="36" t="str">
        <f t="shared" si="20"/>
        <v>-</v>
      </c>
      <c r="Z108" s="36" t="str">
        <f t="shared" si="20"/>
        <v>-</v>
      </c>
    </row>
    <row r="109" spans="1:26" x14ac:dyDescent="0.55000000000000004">
      <c r="A109" s="83"/>
      <c r="B109" s="83"/>
      <c r="C109" s="15">
        <v>7.75</v>
      </c>
      <c r="D109" s="36">
        <f t="shared" si="19"/>
        <v>0.15579999999999999</v>
      </c>
      <c r="E109" s="36">
        <f t="shared" si="19"/>
        <v>0.22197499999999998</v>
      </c>
      <c r="F109" s="36">
        <f t="shared" si="19"/>
        <v>0.274725</v>
      </c>
      <c r="G109" s="36">
        <f t="shared" si="19"/>
        <v>0.36375000000000002</v>
      </c>
      <c r="H109" s="36">
        <f t="shared" si="19"/>
        <v>0.55264999999999997</v>
      </c>
      <c r="I109" s="36">
        <f t="shared" si="19"/>
        <v>0.78615000000000002</v>
      </c>
      <c r="J109" s="36">
        <f t="shared" si="19"/>
        <v>1.06335</v>
      </c>
      <c r="K109" s="36">
        <f t="shared" si="19"/>
        <v>1.41065</v>
      </c>
      <c r="L109" s="36">
        <f t="shared" si="19"/>
        <v>1.8083</v>
      </c>
      <c r="M109" s="36">
        <f t="shared" si="19"/>
        <v>2.2659750000000001</v>
      </c>
      <c r="N109" s="36">
        <f t="shared" si="19"/>
        <v>2.804325</v>
      </c>
      <c r="O109" s="36">
        <f t="shared" si="19"/>
        <v>3.3823749999999997</v>
      </c>
      <c r="P109" s="36">
        <f t="shared" si="19"/>
        <v>4.0906500000000001</v>
      </c>
      <c r="Q109" s="36">
        <f t="shared" si="19"/>
        <v>4.7691999999999997</v>
      </c>
      <c r="R109" s="36" t="str">
        <f t="shared" si="19"/>
        <v>-</v>
      </c>
      <c r="S109" s="36" t="str">
        <f t="shared" si="19"/>
        <v>-</v>
      </c>
      <c r="T109" s="36" t="str">
        <f t="shared" si="20"/>
        <v>-</v>
      </c>
      <c r="U109" s="36" t="str">
        <f t="shared" si="20"/>
        <v>-</v>
      </c>
      <c r="V109" s="36" t="str">
        <f t="shared" si="20"/>
        <v>-</v>
      </c>
      <c r="W109" s="36" t="str">
        <f t="shared" si="20"/>
        <v>-</v>
      </c>
      <c r="X109" s="36" t="str">
        <f t="shared" si="20"/>
        <v>-</v>
      </c>
      <c r="Y109" s="36" t="str">
        <f t="shared" si="20"/>
        <v>-</v>
      </c>
      <c r="Z109" s="36" t="str">
        <f t="shared" si="20"/>
        <v>-</v>
      </c>
    </row>
    <row r="110" spans="1:26" x14ac:dyDescent="0.55000000000000004">
      <c r="A110" s="83"/>
      <c r="B110" s="83"/>
      <c r="C110" s="15">
        <v>8</v>
      </c>
      <c r="D110" s="36">
        <f t="shared" si="19"/>
        <v>0.15959999999999999</v>
      </c>
      <c r="E110" s="36">
        <f t="shared" si="19"/>
        <v>0.22719999999999999</v>
      </c>
      <c r="F110" s="36">
        <f t="shared" si="19"/>
        <v>0.28120000000000001</v>
      </c>
      <c r="G110" s="36">
        <f t="shared" si="19"/>
        <v>0.372</v>
      </c>
      <c r="H110" s="36">
        <f t="shared" si="19"/>
        <v>0.56479999999999997</v>
      </c>
      <c r="I110" s="36">
        <f t="shared" si="19"/>
        <v>0.80280000000000007</v>
      </c>
      <c r="J110" s="36">
        <f t="shared" si="19"/>
        <v>1.0851999999999999</v>
      </c>
      <c r="K110" s="36">
        <f t="shared" si="19"/>
        <v>1.4388000000000001</v>
      </c>
      <c r="L110" s="36">
        <f t="shared" si="19"/>
        <v>1.8435999999999999</v>
      </c>
      <c r="M110" s="36">
        <f t="shared" si="19"/>
        <v>2.3091999999999997</v>
      </c>
      <c r="N110" s="36">
        <f t="shared" si="19"/>
        <v>2.8563999999999998</v>
      </c>
      <c r="O110" s="36">
        <f t="shared" si="19"/>
        <v>3.444</v>
      </c>
      <c r="P110" s="36">
        <f t="shared" si="19"/>
        <v>4.1628000000000007</v>
      </c>
      <c r="Q110" s="36">
        <f t="shared" si="19"/>
        <v>4.8523999999999994</v>
      </c>
      <c r="R110" s="36">
        <f t="shared" si="19"/>
        <v>5.7528000000000006</v>
      </c>
      <c r="S110" s="36" t="str">
        <f t="shared" si="19"/>
        <v>-</v>
      </c>
      <c r="T110" s="36" t="str">
        <f t="shared" si="20"/>
        <v>-</v>
      </c>
      <c r="U110" s="36" t="str">
        <f t="shared" si="20"/>
        <v>-</v>
      </c>
      <c r="V110" s="36" t="str">
        <f t="shared" si="20"/>
        <v>-</v>
      </c>
      <c r="W110" s="36" t="str">
        <f t="shared" si="20"/>
        <v>-</v>
      </c>
      <c r="X110" s="36" t="str">
        <f t="shared" si="20"/>
        <v>-</v>
      </c>
      <c r="Y110" s="36" t="str">
        <f t="shared" si="20"/>
        <v>-</v>
      </c>
      <c r="Z110" s="36" t="str">
        <f t="shared" si="20"/>
        <v>-</v>
      </c>
    </row>
    <row r="111" spans="1:26" x14ac:dyDescent="0.55000000000000004">
      <c r="A111" s="83"/>
      <c r="B111" s="83"/>
      <c r="C111" s="15">
        <v>8.25</v>
      </c>
      <c r="D111" s="36">
        <f t="shared" si="19"/>
        <v>0.16340000000000002</v>
      </c>
      <c r="E111" s="36">
        <f t="shared" si="19"/>
        <v>0.23242499999999999</v>
      </c>
      <c r="F111" s="36">
        <f t="shared" si="19"/>
        <v>0.28767500000000001</v>
      </c>
      <c r="G111" s="36">
        <f t="shared" si="19"/>
        <v>0.38024999999999998</v>
      </c>
      <c r="H111" s="36">
        <f t="shared" si="19"/>
        <v>0.57694999999999996</v>
      </c>
      <c r="I111" s="36">
        <f t="shared" si="19"/>
        <v>0.81945000000000012</v>
      </c>
      <c r="J111" s="36">
        <f t="shared" si="19"/>
        <v>1.1070500000000001</v>
      </c>
      <c r="K111" s="36">
        <f t="shared" si="19"/>
        <v>1.46695</v>
      </c>
      <c r="L111" s="36">
        <f t="shared" si="19"/>
        <v>1.8788999999999998</v>
      </c>
      <c r="M111" s="36">
        <f t="shared" si="19"/>
        <v>2.3524250000000002</v>
      </c>
      <c r="N111" s="36">
        <f t="shared" si="19"/>
        <v>2.9084750000000001</v>
      </c>
      <c r="O111" s="36">
        <f t="shared" si="19"/>
        <v>3.5056249999999998</v>
      </c>
      <c r="P111" s="36">
        <f t="shared" si="19"/>
        <v>4.2349500000000004</v>
      </c>
      <c r="Q111" s="36">
        <f t="shared" si="19"/>
        <v>4.9356</v>
      </c>
      <c r="R111" s="36">
        <f t="shared" si="19"/>
        <v>5.8476999999999997</v>
      </c>
      <c r="S111" s="36" t="str">
        <f t="shared" si="19"/>
        <v>-</v>
      </c>
      <c r="T111" s="36" t="str">
        <f t="shared" si="20"/>
        <v>-</v>
      </c>
      <c r="U111" s="36" t="str">
        <f t="shared" si="20"/>
        <v>-</v>
      </c>
      <c r="V111" s="36" t="str">
        <f t="shared" si="20"/>
        <v>-</v>
      </c>
      <c r="W111" s="36" t="str">
        <f t="shared" si="20"/>
        <v>-</v>
      </c>
      <c r="X111" s="36" t="str">
        <f t="shared" si="20"/>
        <v>-</v>
      </c>
      <c r="Y111" s="36" t="str">
        <f t="shared" si="20"/>
        <v>-</v>
      </c>
      <c r="Z111" s="36" t="str">
        <f t="shared" si="20"/>
        <v>-</v>
      </c>
    </row>
    <row r="112" spans="1:26" x14ac:dyDescent="0.55000000000000004">
      <c r="A112" s="83"/>
      <c r="B112" s="83"/>
      <c r="C112" s="15">
        <v>8.5</v>
      </c>
      <c r="D112" s="36">
        <f t="shared" si="19"/>
        <v>0.16720000000000002</v>
      </c>
      <c r="E112" s="36">
        <f t="shared" si="19"/>
        <v>0.23764999999999997</v>
      </c>
      <c r="F112" s="36">
        <f t="shared" si="19"/>
        <v>0.29415000000000002</v>
      </c>
      <c r="G112" s="36">
        <f t="shared" si="19"/>
        <v>0.38850000000000007</v>
      </c>
      <c r="H112" s="36">
        <f t="shared" si="19"/>
        <v>0.58909999999999996</v>
      </c>
      <c r="I112" s="36">
        <f t="shared" si="19"/>
        <v>0.83610000000000007</v>
      </c>
      <c r="J112" s="36">
        <f t="shared" si="19"/>
        <v>1.1289</v>
      </c>
      <c r="K112" s="36">
        <f t="shared" si="19"/>
        <v>1.4950999999999999</v>
      </c>
      <c r="L112" s="36">
        <f t="shared" si="19"/>
        <v>1.9142000000000001</v>
      </c>
      <c r="M112" s="36">
        <f t="shared" si="19"/>
        <v>2.3956499999999998</v>
      </c>
      <c r="N112" s="36">
        <f t="shared" si="19"/>
        <v>2.96055</v>
      </c>
      <c r="O112" s="36">
        <f t="shared" si="19"/>
        <v>3.56725</v>
      </c>
      <c r="P112" s="36">
        <f t="shared" si="19"/>
        <v>4.3071000000000002</v>
      </c>
      <c r="Q112" s="36">
        <f t="shared" si="19"/>
        <v>5.0187999999999997</v>
      </c>
      <c r="R112" s="36">
        <f t="shared" si="19"/>
        <v>5.9426000000000005</v>
      </c>
      <c r="S112" s="36" t="str">
        <f t="shared" si="19"/>
        <v>-</v>
      </c>
      <c r="T112" s="36" t="str">
        <f t="shared" si="20"/>
        <v>-</v>
      </c>
      <c r="U112" s="36" t="str">
        <f t="shared" si="20"/>
        <v>-</v>
      </c>
      <c r="V112" s="36" t="str">
        <f t="shared" si="20"/>
        <v>-</v>
      </c>
      <c r="W112" s="36" t="str">
        <f t="shared" si="20"/>
        <v>-</v>
      </c>
      <c r="X112" s="36" t="str">
        <f t="shared" si="20"/>
        <v>-</v>
      </c>
      <c r="Y112" s="36" t="str">
        <f t="shared" si="20"/>
        <v>-</v>
      </c>
      <c r="Z112" s="36" t="str">
        <f t="shared" si="20"/>
        <v>-</v>
      </c>
    </row>
    <row r="113" spans="1:26" x14ac:dyDescent="0.55000000000000004">
      <c r="A113" s="83"/>
      <c r="B113" s="83"/>
      <c r="C113" s="15">
        <v>8.75</v>
      </c>
      <c r="D113" s="36">
        <f t="shared" si="19"/>
        <v>0.17100000000000001</v>
      </c>
      <c r="E113" s="36">
        <f t="shared" si="19"/>
        <v>0.24287499999999998</v>
      </c>
      <c r="F113" s="36">
        <f t="shared" si="19"/>
        <v>0.30062500000000003</v>
      </c>
      <c r="G113" s="36">
        <f t="shared" si="19"/>
        <v>0.39675000000000005</v>
      </c>
      <c r="H113" s="36">
        <f t="shared" ref="H113:W113" si="21">IF($C113&gt;=(4*H$82),((($C113*H$84)+(2*H$85))*1),"-")</f>
        <v>0.60124999999999995</v>
      </c>
      <c r="I113" s="36">
        <f t="shared" si="21"/>
        <v>0.85275000000000012</v>
      </c>
      <c r="J113" s="36">
        <f t="shared" si="21"/>
        <v>1.1507499999999999</v>
      </c>
      <c r="K113" s="36">
        <f t="shared" si="21"/>
        <v>1.52325</v>
      </c>
      <c r="L113" s="36">
        <f t="shared" si="21"/>
        <v>1.9495</v>
      </c>
      <c r="M113" s="36">
        <f t="shared" si="21"/>
        <v>2.4388749999999999</v>
      </c>
      <c r="N113" s="36">
        <f t="shared" si="21"/>
        <v>3.0126249999999999</v>
      </c>
      <c r="O113" s="36">
        <f t="shared" si="21"/>
        <v>3.6288749999999999</v>
      </c>
      <c r="P113" s="36">
        <f t="shared" si="21"/>
        <v>4.3792500000000008</v>
      </c>
      <c r="Q113" s="36">
        <f t="shared" si="21"/>
        <v>5.1020000000000003</v>
      </c>
      <c r="R113" s="36">
        <f t="shared" si="21"/>
        <v>6.0374999999999996</v>
      </c>
      <c r="S113" s="36" t="str">
        <f t="shared" si="21"/>
        <v>-</v>
      </c>
      <c r="T113" s="36" t="str">
        <f t="shared" si="21"/>
        <v>-</v>
      </c>
      <c r="U113" s="36" t="str">
        <f t="shared" si="21"/>
        <v>-</v>
      </c>
      <c r="V113" s="36" t="str">
        <f t="shared" si="21"/>
        <v>-</v>
      </c>
      <c r="W113" s="36" t="str">
        <f t="shared" si="21"/>
        <v>-</v>
      </c>
      <c r="X113" s="36" t="str">
        <f t="shared" si="20"/>
        <v>-</v>
      </c>
      <c r="Y113" s="36" t="str">
        <f t="shared" si="20"/>
        <v>-</v>
      </c>
      <c r="Z113" s="36" t="str">
        <f t="shared" si="20"/>
        <v>-</v>
      </c>
    </row>
    <row r="114" spans="1:26" x14ac:dyDescent="0.55000000000000004">
      <c r="A114" s="83"/>
      <c r="B114" s="83"/>
      <c r="C114" s="15">
        <v>9</v>
      </c>
      <c r="D114" s="36">
        <f t="shared" ref="D114:S129" si="22">IF($C114&gt;=(4*D$82),((($C114*D$84)+(2*D$85))*1),"-")</f>
        <v>0.17480000000000001</v>
      </c>
      <c r="E114" s="36">
        <f t="shared" si="22"/>
        <v>0.24809999999999999</v>
      </c>
      <c r="F114" s="36">
        <f t="shared" si="22"/>
        <v>0.30710000000000004</v>
      </c>
      <c r="G114" s="36">
        <f t="shared" si="22"/>
        <v>0.40500000000000003</v>
      </c>
      <c r="H114" s="36">
        <f t="shared" si="22"/>
        <v>0.61339999999999995</v>
      </c>
      <c r="I114" s="36">
        <f t="shared" si="22"/>
        <v>0.86940000000000006</v>
      </c>
      <c r="J114" s="36">
        <f t="shared" si="22"/>
        <v>1.1726000000000001</v>
      </c>
      <c r="K114" s="36">
        <f t="shared" si="22"/>
        <v>1.5514000000000001</v>
      </c>
      <c r="L114" s="36">
        <f t="shared" si="22"/>
        <v>1.9847999999999999</v>
      </c>
      <c r="M114" s="36">
        <f t="shared" si="22"/>
        <v>2.4821</v>
      </c>
      <c r="N114" s="36">
        <f t="shared" si="22"/>
        <v>3.0647000000000002</v>
      </c>
      <c r="O114" s="36">
        <f t="shared" si="22"/>
        <v>3.6905000000000001</v>
      </c>
      <c r="P114" s="36">
        <f t="shared" si="22"/>
        <v>4.4514000000000005</v>
      </c>
      <c r="Q114" s="36">
        <f t="shared" si="22"/>
        <v>5.1852</v>
      </c>
      <c r="R114" s="36">
        <f t="shared" si="22"/>
        <v>6.1324000000000005</v>
      </c>
      <c r="S114" s="36">
        <f t="shared" si="22"/>
        <v>8.1817999999999991</v>
      </c>
      <c r="T114" s="36" t="str">
        <f t="shared" ref="T114:W128" si="23">IF($C114&gt;=(4*T$82),((($C114*T$84)+(2*T$85))*1),"-")</f>
        <v>-</v>
      </c>
      <c r="U114" s="36" t="str">
        <f t="shared" si="23"/>
        <v>-</v>
      </c>
      <c r="V114" s="36" t="str">
        <f t="shared" si="23"/>
        <v>-</v>
      </c>
      <c r="W114" s="36" t="str">
        <f t="shared" si="23"/>
        <v>-</v>
      </c>
      <c r="X114" s="36" t="str">
        <f t="shared" si="20"/>
        <v>-</v>
      </c>
      <c r="Y114" s="36" t="str">
        <f t="shared" si="20"/>
        <v>-</v>
      </c>
      <c r="Z114" s="36" t="str">
        <f t="shared" si="20"/>
        <v>-</v>
      </c>
    </row>
    <row r="115" spans="1:26" x14ac:dyDescent="0.55000000000000004">
      <c r="A115" s="83"/>
      <c r="B115" s="83"/>
      <c r="C115" s="15">
        <v>9.25</v>
      </c>
      <c r="D115" s="36">
        <f t="shared" si="22"/>
        <v>0.17860000000000001</v>
      </c>
      <c r="E115" s="36">
        <f t="shared" si="22"/>
        <v>0.25332500000000002</v>
      </c>
      <c r="F115" s="36">
        <f t="shared" si="22"/>
        <v>0.31357499999999999</v>
      </c>
      <c r="G115" s="36">
        <f t="shared" si="22"/>
        <v>0.41325000000000001</v>
      </c>
      <c r="H115" s="36">
        <f t="shared" si="22"/>
        <v>0.62554999999999994</v>
      </c>
      <c r="I115" s="36">
        <f t="shared" si="22"/>
        <v>0.88605000000000012</v>
      </c>
      <c r="J115" s="36">
        <f t="shared" si="22"/>
        <v>1.19445</v>
      </c>
      <c r="K115" s="36">
        <f t="shared" si="22"/>
        <v>1.5795499999999998</v>
      </c>
      <c r="L115" s="36">
        <f t="shared" si="22"/>
        <v>2.0200999999999998</v>
      </c>
      <c r="M115" s="36">
        <f t="shared" si="22"/>
        <v>2.5253249999999996</v>
      </c>
      <c r="N115" s="36">
        <f t="shared" si="22"/>
        <v>3.1167750000000001</v>
      </c>
      <c r="O115" s="36">
        <f t="shared" si="22"/>
        <v>3.7521249999999999</v>
      </c>
      <c r="P115" s="36">
        <f t="shared" si="22"/>
        <v>4.5235500000000002</v>
      </c>
      <c r="Q115" s="36">
        <f t="shared" si="22"/>
        <v>5.2683999999999997</v>
      </c>
      <c r="R115" s="36">
        <f t="shared" si="22"/>
        <v>6.2272999999999996</v>
      </c>
      <c r="S115" s="36">
        <f t="shared" si="22"/>
        <v>8.30335</v>
      </c>
      <c r="T115" s="36" t="str">
        <f t="shared" si="23"/>
        <v>-</v>
      </c>
      <c r="U115" s="36" t="str">
        <f t="shared" si="23"/>
        <v>-</v>
      </c>
      <c r="V115" s="36" t="str">
        <f t="shared" si="23"/>
        <v>-</v>
      </c>
      <c r="W115" s="36" t="str">
        <f t="shared" si="23"/>
        <v>-</v>
      </c>
      <c r="X115" s="36" t="str">
        <f t="shared" si="20"/>
        <v>-</v>
      </c>
      <c r="Y115" s="36" t="str">
        <f t="shared" si="20"/>
        <v>-</v>
      </c>
      <c r="Z115" s="36" t="str">
        <f t="shared" si="20"/>
        <v>-</v>
      </c>
    </row>
    <row r="116" spans="1:26" x14ac:dyDescent="0.55000000000000004">
      <c r="A116" s="83"/>
      <c r="B116" s="83"/>
      <c r="C116" s="15">
        <v>9.5</v>
      </c>
      <c r="D116" s="36">
        <f t="shared" si="22"/>
        <v>0.18240000000000001</v>
      </c>
      <c r="E116" s="36">
        <f t="shared" si="22"/>
        <v>0.25854999999999995</v>
      </c>
      <c r="F116" s="36">
        <f t="shared" si="22"/>
        <v>0.32005</v>
      </c>
      <c r="G116" s="36">
        <f t="shared" si="22"/>
        <v>0.42149999999999999</v>
      </c>
      <c r="H116" s="36">
        <f t="shared" si="22"/>
        <v>0.63770000000000004</v>
      </c>
      <c r="I116" s="36">
        <f t="shared" si="22"/>
        <v>0.90270000000000006</v>
      </c>
      <c r="J116" s="36">
        <f t="shared" si="22"/>
        <v>1.2162999999999999</v>
      </c>
      <c r="K116" s="36">
        <f t="shared" si="22"/>
        <v>1.6076999999999999</v>
      </c>
      <c r="L116" s="36">
        <f t="shared" si="22"/>
        <v>2.0554000000000001</v>
      </c>
      <c r="M116" s="36">
        <f t="shared" si="22"/>
        <v>2.5685500000000001</v>
      </c>
      <c r="N116" s="36">
        <f t="shared" si="22"/>
        <v>3.1688499999999999</v>
      </c>
      <c r="O116" s="36">
        <f t="shared" si="22"/>
        <v>3.8137499999999998</v>
      </c>
      <c r="P116" s="36">
        <f t="shared" si="22"/>
        <v>4.5957000000000008</v>
      </c>
      <c r="Q116" s="36">
        <f t="shared" si="22"/>
        <v>5.3515999999999995</v>
      </c>
      <c r="R116" s="36">
        <f t="shared" si="22"/>
        <v>6.3222000000000005</v>
      </c>
      <c r="S116" s="36">
        <f t="shared" si="22"/>
        <v>8.4249000000000009</v>
      </c>
      <c r="T116" s="36" t="str">
        <f t="shared" si="23"/>
        <v>-</v>
      </c>
      <c r="U116" s="36" t="str">
        <f t="shared" si="23"/>
        <v>-</v>
      </c>
      <c r="V116" s="36" t="str">
        <f t="shared" si="23"/>
        <v>-</v>
      </c>
      <c r="W116" s="36" t="str">
        <f t="shared" si="23"/>
        <v>-</v>
      </c>
      <c r="X116" s="36" t="str">
        <f t="shared" si="20"/>
        <v>-</v>
      </c>
      <c r="Y116" s="36" t="str">
        <f t="shared" si="20"/>
        <v>-</v>
      </c>
      <c r="Z116" s="36" t="str">
        <f t="shared" si="20"/>
        <v>-</v>
      </c>
    </row>
    <row r="117" spans="1:26" x14ac:dyDescent="0.55000000000000004">
      <c r="A117" s="83"/>
      <c r="B117" s="83"/>
      <c r="C117" s="15">
        <v>9.75</v>
      </c>
      <c r="D117" s="36">
        <f t="shared" si="22"/>
        <v>0.1862</v>
      </c>
      <c r="E117" s="36">
        <f t="shared" si="22"/>
        <v>0.26377499999999998</v>
      </c>
      <c r="F117" s="36">
        <f t="shared" si="22"/>
        <v>0.32652500000000001</v>
      </c>
      <c r="G117" s="36">
        <f t="shared" si="22"/>
        <v>0.42975000000000008</v>
      </c>
      <c r="H117" s="36">
        <f t="shared" si="22"/>
        <v>0.64985000000000004</v>
      </c>
      <c r="I117" s="36">
        <f t="shared" si="22"/>
        <v>0.91935000000000011</v>
      </c>
      <c r="J117" s="36">
        <f t="shared" si="22"/>
        <v>1.2381500000000001</v>
      </c>
      <c r="K117" s="36">
        <f t="shared" si="22"/>
        <v>1.63585</v>
      </c>
      <c r="L117" s="36">
        <f t="shared" si="22"/>
        <v>2.0907</v>
      </c>
      <c r="M117" s="36">
        <f t="shared" si="22"/>
        <v>2.6117749999999997</v>
      </c>
      <c r="N117" s="36">
        <f t="shared" si="22"/>
        <v>3.2209250000000003</v>
      </c>
      <c r="O117" s="36">
        <f t="shared" si="22"/>
        <v>3.875375</v>
      </c>
      <c r="P117" s="36">
        <f t="shared" si="22"/>
        <v>4.6678500000000005</v>
      </c>
      <c r="Q117" s="36">
        <f t="shared" si="22"/>
        <v>5.4347999999999992</v>
      </c>
      <c r="R117" s="36">
        <f t="shared" si="22"/>
        <v>6.4170999999999996</v>
      </c>
      <c r="S117" s="36">
        <f t="shared" si="22"/>
        <v>8.5464500000000001</v>
      </c>
      <c r="T117" s="36" t="str">
        <f t="shared" si="23"/>
        <v>-</v>
      </c>
      <c r="U117" s="36" t="str">
        <f t="shared" si="23"/>
        <v>-</v>
      </c>
      <c r="V117" s="36" t="str">
        <f t="shared" si="23"/>
        <v>-</v>
      </c>
      <c r="W117" s="36" t="str">
        <f t="shared" si="23"/>
        <v>-</v>
      </c>
      <c r="X117" s="36" t="str">
        <f t="shared" si="20"/>
        <v>-</v>
      </c>
      <c r="Y117" s="36" t="str">
        <f t="shared" si="20"/>
        <v>-</v>
      </c>
      <c r="Z117" s="36" t="str">
        <f t="shared" si="20"/>
        <v>-</v>
      </c>
    </row>
    <row r="118" spans="1:26" x14ac:dyDescent="0.55000000000000004">
      <c r="A118" s="83"/>
      <c r="B118" s="83"/>
      <c r="C118" s="15">
        <v>10</v>
      </c>
      <c r="D118" s="36">
        <f t="shared" si="22"/>
        <v>0.19</v>
      </c>
      <c r="E118" s="36">
        <f t="shared" si="22"/>
        <v>0.26900000000000002</v>
      </c>
      <c r="F118" s="36">
        <f t="shared" si="22"/>
        <v>0.33300000000000002</v>
      </c>
      <c r="G118" s="36">
        <f t="shared" si="22"/>
        <v>0.43800000000000006</v>
      </c>
      <c r="H118" s="36">
        <f t="shared" si="22"/>
        <v>0.66200000000000003</v>
      </c>
      <c r="I118" s="36">
        <f t="shared" si="22"/>
        <v>0.93600000000000005</v>
      </c>
      <c r="J118" s="36">
        <f t="shared" si="22"/>
        <v>1.2600000000000002</v>
      </c>
      <c r="K118" s="36">
        <f t="shared" si="22"/>
        <v>1.6640000000000001</v>
      </c>
      <c r="L118" s="36">
        <f t="shared" si="22"/>
        <v>2.1259999999999999</v>
      </c>
      <c r="M118" s="36">
        <f t="shared" si="22"/>
        <v>2.6550000000000002</v>
      </c>
      <c r="N118" s="36">
        <f t="shared" si="22"/>
        <v>3.2730000000000001</v>
      </c>
      <c r="O118" s="36">
        <f t="shared" si="22"/>
        <v>3.9369999999999998</v>
      </c>
      <c r="P118" s="36">
        <f t="shared" si="22"/>
        <v>4.74</v>
      </c>
      <c r="Q118" s="36">
        <f t="shared" si="22"/>
        <v>5.5179999999999998</v>
      </c>
      <c r="R118" s="36">
        <f t="shared" si="22"/>
        <v>6.5120000000000005</v>
      </c>
      <c r="S118" s="36">
        <f t="shared" si="22"/>
        <v>8.6679999999999993</v>
      </c>
      <c r="T118" s="36">
        <f t="shared" si="23"/>
        <v>11.178000000000001</v>
      </c>
      <c r="U118" s="36" t="str">
        <f t="shared" si="23"/>
        <v>-</v>
      </c>
      <c r="V118" s="36" t="str">
        <f t="shared" si="23"/>
        <v>-</v>
      </c>
      <c r="W118" s="36" t="str">
        <f t="shared" si="23"/>
        <v>-</v>
      </c>
      <c r="X118" s="36" t="str">
        <f t="shared" si="20"/>
        <v>-</v>
      </c>
      <c r="Y118" s="36" t="str">
        <f t="shared" si="20"/>
        <v>-</v>
      </c>
      <c r="Z118" s="36" t="str">
        <f t="shared" si="20"/>
        <v>-</v>
      </c>
    </row>
    <row r="119" spans="1:26" x14ac:dyDescent="0.55000000000000004">
      <c r="A119" s="83"/>
      <c r="B119" s="83"/>
      <c r="C119" s="15">
        <v>10.25</v>
      </c>
      <c r="D119" s="36">
        <f t="shared" si="22"/>
        <v>0.1938</v>
      </c>
      <c r="E119" s="36">
        <f t="shared" si="22"/>
        <v>0.27422499999999994</v>
      </c>
      <c r="F119" s="36">
        <f t="shared" si="22"/>
        <v>0.33947500000000003</v>
      </c>
      <c r="G119" s="36">
        <f t="shared" si="22"/>
        <v>0.44625000000000004</v>
      </c>
      <c r="H119" s="36">
        <f t="shared" si="22"/>
        <v>0.67415000000000003</v>
      </c>
      <c r="I119" s="36">
        <f t="shared" si="22"/>
        <v>0.95265000000000011</v>
      </c>
      <c r="J119" s="36">
        <f t="shared" si="22"/>
        <v>1.2818499999999999</v>
      </c>
      <c r="K119" s="36">
        <f t="shared" si="22"/>
        <v>1.6921499999999998</v>
      </c>
      <c r="L119" s="36">
        <f t="shared" si="22"/>
        <v>2.1612999999999998</v>
      </c>
      <c r="M119" s="36">
        <f t="shared" si="22"/>
        <v>2.6982249999999999</v>
      </c>
      <c r="N119" s="36">
        <f t="shared" si="22"/>
        <v>3.325075</v>
      </c>
      <c r="O119" s="36">
        <f t="shared" si="22"/>
        <v>3.9986250000000001</v>
      </c>
      <c r="P119" s="36">
        <f t="shared" si="22"/>
        <v>4.8121500000000008</v>
      </c>
      <c r="Q119" s="36">
        <f t="shared" si="22"/>
        <v>5.6012000000000004</v>
      </c>
      <c r="R119" s="36">
        <f t="shared" si="22"/>
        <v>6.6068999999999996</v>
      </c>
      <c r="S119" s="36">
        <f t="shared" si="22"/>
        <v>8.7895500000000002</v>
      </c>
      <c r="T119" s="36">
        <f t="shared" si="23"/>
        <v>11.329450000000001</v>
      </c>
      <c r="U119" s="36" t="str">
        <f t="shared" si="23"/>
        <v>-</v>
      </c>
      <c r="V119" s="36" t="str">
        <f t="shared" si="23"/>
        <v>-</v>
      </c>
      <c r="W119" s="36" t="str">
        <f t="shared" si="23"/>
        <v>-</v>
      </c>
      <c r="X119" s="36" t="str">
        <f t="shared" si="20"/>
        <v>-</v>
      </c>
      <c r="Y119" s="36" t="str">
        <f t="shared" si="20"/>
        <v>-</v>
      </c>
      <c r="Z119" s="36" t="str">
        <f t="shared" si="20"/>
        <v>-</v>
      </c>
    </row>
    <row r="120" spans="1:26" x14ac:dyDescent="0.55000000000000004">
      <c r="A120" s="83"/>
      <c r="B120" s="83"/>
      <c r="C120" s="15">
        <v>10.5</v>
      </c>
      <c r="D120" s="36">
        <f t="shared" si="22"/>
        <v>0.1976</v>
      </c>
      <c r="E120" s="36">
        <f t="shared" si="22"/>
        <v>0.27944999999999998</v>
      </c>
      <c r="F120" s="36">
        <f t="shared" si="22"/>
        <v>0.34594999999999998</v>
      </c>
      <c r="G120" s="36">
        <f t="shared" si="22"/>
        <v>0.45450000000000002</v>
      </c>
      <c r="H120" s="36">
        <f t="shared" si="22"/>
        <v>0.68630000000000002</v>
      </c>
      <c r="I120" s="36">
        <f t="shared" si="22"/>
        <v>0.96930000000000005</v>
      </c>
      <c r="J120" s="36">
        <f t="shared" si="22"/>
        <v>1.3037000000000001</v>
      </c>
      <c r="K120" s="36">
        <f t="shared" si="22"/>
        <v>1.7202999999999999</v>
      </c>
      <c r="L120" s="36">
        <f t="shared" si="22"/>
        <v>2.1966000000000001</v>
      </c>
      <c r="M120" s="36">
        <f t="shared" si="22"/>
        <v>2.7414499999999999</v>
      </c>
      <c r="N120" s="36">
        <f t="shared" si="22"/>
        <v>3.3771499999999999</v>
      </c>
      <c r="O120" s="36">
        <f t="shared" si="22"/>
        <v>4.0602499999999999</v>
      </c>
      <c r="P120" s="36">
        <f t="shared" si="22"/>
        <v>4.8843000000000005</v>
      </c>
      <c r="Q120" s="36">
        <f t="shared" si="22"/>
        <v>5.6844000000000001</v>
      </c>
      <c r="R120" s="36">
        <f t="shared" si="22"/>
        <v>6.7018000000000004</v>
      </c>
      <c r="S120" s="36">
        <f t="shared" si="22"/>
        <v>8.9111000000000011</v>
      </c>
      <c r="T120" s="36">
        <f t="shared" si="23"/>
        <v>11.4809</v>
      </c>
      <c r="U120" s="36" t="str">
        <f t="shared" si="23"/>
        <v>-</v>
      </c>
      <c r="V120" s="36" t="str">
        <f t="shared" si="23"/>
        <v>-</v>
      </c>
      <c r="W120" s="36" t="str">
        <f t="shared" si="23"/>
        <v>-</v>
      </c>
      <c r="X120" s="36" t="str">
        <f t="shared" si="20"/>
        <v>-</v>
      </c>
      <c r="Y120" s="36" t="str">
        <f t="shared" si="20"/>
        <v>-</v>
      </c>
      <c r="Z120" s="36" t="str">
        <f t="shared" si="20"/>
        <v>-</v>
      </c>
    </row>
    <row r="121" spans="1:26" x14ac:dyDescent="0.55000000000000004">
      <c r="A121" s="83"/>
      <c r="B121" s="83"/>
      <c r="C121" s="15">
        <v>10.75</v>
      </c>
      <c r="D121" s="36">
        <f t="shared" si="22"/>
        <v>0.2014</v>
      </c>
      <c r="E121" s="36">
        <f t="shared" si="22"/>
        <v>0.28467500000000001</v>
      </c>
      <c r="F121" s="36">
        <f t="shared" si="22"/>
        <v>0.35242499999999999</v>
      </c>
      <c r="G121" s="36">
        <f t="shared" si="22"/>
        <v>0.46274999999999999</v>
      </c>
      <c r="H121" s="36">
        <f t="shared" si="22"/>
        <v>0.69845000000000002</v>
      </c>
      <c r="I121" s="36">
        <f t="shared" si="22"/>
        <v>0.9859500000000001</v>
      </c>
      <c r="J121" s="36">
        <f t="shared" si="22"/>
        <v>1.3255500000000002</v>
      </c>
      <c r="K121" s="36">
        <f t="shared" si="22"/>
        <v>1.7484500000000001</v>
      </c>
      <c r="L121" s="36">
        <f t="shared" si="22"/>
        <v>2.2319</v>
      </c>
      <c r="M121" s="36">
        <f t="shared" si="22"/>
        <v>2.784675</v>
      </c>
      <c r="N121" s="36">
        <f t="shared" si="22"/>
        <v>3.4292250000000002</v>
      </c>
      <c r="O121" s="36">
        <f t="shared" si="22"/>
        <v>4.1218749999999993</v>
      </c>
      <c r="P121" s="36">
        <f t="shared" si="22"/>
        <v>4.9564500000000002</v>
      </c>
      <c r="Q121" s="36">
        <f t="shared" si="22"/>
        <v>5.7675999999999998</v>
      </c>
      <c r="R121" s="36">
        <f t="shared" si="22"/>
        <v>6.7967000000000004</v>
      </c>
      <c r="S121" s="36">
        <f t="shared" si="22"/>
        <v>9.0326500000000003</v>
      </c>
      <c r="T121" s="36">
        <f t="shared" si="23"/>
        <v>11.632349999999999</v>
      </c>
      <c r="U121" s="36" t="str">
        <f t="shared" si="23"/>
        <v>-</v>
      </c>
      <c r="V121" s="36" t="str">
        <f t="shared" si="23"/>
        <v>-</v>
      </c>
      <c r="W121" s="36" t="str">
        <f t="shared" si="23"/>
        <v>-</v>
      </c>
      <c r="X121" s="36" t="str">
        <f t="shared" si="20"/>
        <v>-</v>
      </c>
      <c r="Y121" s="36" t="str">
        <f t="shared" si="20"/>
        <v>-</v>
      </c>
      <c r="Z121" s="36" t="str">
        <f t="shared" si="20"/>
        <v>-</v>
      </c>
    </row>
    <row r="122" spans="1:26" x14ac:dyDescent="0.55000000000000004">
      <c r="A122" s="83"/>
      <c r="B122" s="83"/>
      <c r="C122" s="15">
        <v>11</v>
      </c>
      <c r="D122" s="36">
        <f t="shared" si="22"/>
        <v>0.20519999999999999</v>
      </c>
      <c r="E122" s="36">
        <f t="shared" si="22"/>
        <v>0.28989999999999999</v>
      </c>
      <c r="F122" s="36">
        <f t="shared" si="22"/>
        <v>0.3589</v>
      </c>
      <c r="G122" s="36">
        <f t="shared" si="22"/>
        <v>0.47099999999999997</v>
      </c>
      <c r="H122" s="36">
        <f t="shared" si="22"/>
        <v>0.71060000000000001</v>
      </c>
      <c r="I122" s="36">
        <f t="shared" si="22"/>
        <v>1.0026000000000002</v>
      </c>
      <c r="J122" s="36">
        <f t="shared" si="22"/>
        <v>1.3473999999999999</v>
      </c>
      <c r="K122" s="36">
        <f t="shared" si="22"/>
        <v>1.7766000000000002</v>
      </c>
      <c r="L122" s="36">
        <f t="shared" si="22"/>
        <v>2.2671999999999999</v>
      </c>
      <c r="M122" s="36">
        <f t="shared" si="22"/>
        <v>2.8278999999999996</v>
      </c>
      <c r="N122" s="36">
        <f t="shared" si="22"/>
        <v>3.4813000000000001</v>
      </c>
      <c r="O122" s="36">
        <f t="shared" si="22"/>
        <v>4.1835000000000004</v>
      </c>
      <c r="P122" s="36">
        <f t="shared" si="22"/>
        <v>5.0286000000000008</v>
      </c>
      <c r="Q122" s="36">
        <f t="shared" si="22"/>
        <v>5.8507999999999996</v>
      </c>
      <c r="R122" s="36">
        <f t="shared" si="22"/>
        <v>6.8916000000000004</v>
      </c>
      <c r="S122" s="36">
        <f t="shared" si="22"/>
        <v>9.1541999999999994</v>
      </c>
      <c r="T122" s="36">
        <f t="shared" si="23"/>
        <v>11.783799999999999</v>
      </c>
      <c r="U122" s="36">
        <f t="shared" si="23"/>
        <v>14.793800000000001</v>
      </c>
      <c r="V122" s="36" t="str">
        <f t="shared" si="23"/>
        <v>-</v>
      </c>
      <c r="W122" s="36" t="str">
        <f t="shared" si="23"/>
        <v>-</v>
      </c>
      <c r="X122" s="36" t="str">
        <f t="shared" si="20"/>
        <v>-</v>
      </c>
      <c r="Y122" s="36" t="str">
        <f t="shared" si="20"/>
        <v>-</v>
      </c>
      <c r="Z122" s="36" t="str">
        <f t="shared" si="20"/>
        <v>-</v>
      </c>
    </row>
    <row r="123" spans="1:26" x14ac:dyDescent="0.55000000000000004">
      <c r="A123" s="83"/>
      <c r="B123" s="83"/>
      <c r="C123" s="15">
        <v>11.25</v>
      </c>
      <c r="D123" s="36">
        <f t="shared" si="22"/>
        <v>0.20900000000000002</v>
      </c>
      <c r="E123" s="36">
        <f t="shared" si="22"/>
        <v>0.29512499999999997</v>
      </c>
      <c r="F123" s="36">
        <f t="shared" si="22"/>
        <v>0.36537500000000001</v>
      </c>
      <c r="G123" s="36">
        <f t="shared" si="22"/>
        <v>0.47925000000000006</v>
      </c>
      <c r="H123" s="36">
        <f t="shared" si="22"/>
        <v>0.72275</v>
      </c>
      <c r="I123" s="36">
        <f t="shared" si="22"/>
        <v>1.01925</v>
      </c>
      <c r="J123" s="36">
        <f t="shared" si="22"/>
        <v>1.3692500000000001</v>
      </c>
      <c r="K123" s="36">
        <f t="shared" si="22"/>
        <v>1.8047499999999999</v>
      </c>
      <c r="L123" s="36">
        <f t="shared" si="22"/>
        <v>2.3024999999999998</v>
      </c>
      <c r="M123" s="36">
        <f t="shared" si="22"/>
        <v>2.8711250000000001</v>
      </c>
      <c r="N123" s="36">
        <f t="shared" si="22"/>
        <v>3.5333749999999999</v>
      </c>
      <c r="O123" s="36">
        <f t="shared" si="22"/>
        <v>4.2451249999999998</v>
      </c>
      <c r="P123" s="36">
        <f t="shared" si="22"/>
        <v>5.1007500000000006</v>
      </c>
      <c r="Q123" s="36">
        <f t="shared" si="22"/>
        <v>5.9339999999999993</v>
      </c>
      <c r="R123" s="36">
        <f t="shared" si="22"/>
        <v>6.9865000000000004</v>
      </c>
      <c r="S123" s="36">
        <f t="shared" si="22"/>
        <v>9.2757500000000004</v>
      </c>
      <c r="T123" s="36">
        <f t="shared" si="23"/>
        <v>11.93525</v>
      </c>
      <c r="U123" s="36">
        <f t="shared" si="23"/>
        <v>14.97775</v>
      </c>
      <c r="V123" s="36" t="str">
        <f t="shared" si="23"/>
        <v>-</v>
      </c>
      <c r="W123" s="36" t="str">
        <f t="shared" si="23"/>
        <v>-</v>
      </c>
      <c r="X123" s="36" t="str">
        <f t="shared" si="20"/>
        <v>-</v>
      </c>
      <c r="Y123" s="36" t="str">
        <f t="shared" si="20"/>
        <v>-</v>
      </c>
      <c r="Z123" s="36" t="str">
        <f t="shared" si="20"/>
        <v>-</v>
      </c>
    </row>
    <row r="124" spans="1:26" x14ac:dyDescent="0.55000000000000004">
      <c r="A124" s="83"/>
      <c r="B124" s="83"/>
      <c r="C124" s="15">
        <v>11.5</v>
      </c>
      <c r="D124" s="36">
        <f t="shared" si="22"/>
        <v>0.21280000000000002</v>
      </c>
      <c r="E124" s="36">
        <f t="shared" si="22"/>
        <v>0.30035000000000001</v>
      </c>
      <c r="F124" s="36">
        <f t="shared" si="22"/>
        <v>0.37185000000000001</v>
      </c>
      <c r="G124" s="36">
        <f t="shared" si="22"/>
        <v>0.48750000000000004</v>
      </c>
      <c r="H124" s="36">
        <f t="shared" si="22"/>
        <v>0.7349</v>
      </c>
      <c r="I124" s="36">
        <f t="shared" si="22"/>
        <v>1.0359</v>
      </c>
      <c r="J124" s="36">
        <f t="shared" si="22"/>
        <v>1.3911000000000002</v>
      </c>
      <c r="K124" s="36">
        <f t="shared" si="22"/>
        <v>1.8329</v>
      </c>
      <c r="L124" s="36">
        <f t="shared" si="22"/>
        <v>2.3378000000000001</v>
      </c>
      <c r="M124" s="36">
        <f t="shared" si="22"/>
        <v>2.9143499999999998</v>
      </c>
      <c r="N124" s="36">
        <f t="shared" si="22"/>
        <v>3.5854500000000002</v>
      </c>
      <c r="O124" s="36">
        <f t="shared" si="22"/>
        <v>4.3067500000000001</v>
      </c>
      <c r="P124" s="36">
        <f t="shared" si="22"/>
        <v>5.1729000000000003</v>
      </c>
      <c r="Q124" s="36">
        <f t="shared" si="22"/>
        <v>6.0171999999999999</v>
      </c>
      <c r="R124" s="36">
        <f t="shared" si="22"/>
        <v>7.0814000000000004</v>
      </c>
      <c r="S124" s="36">
        <f t="shared" si="22"/>
        <v>9.3973000000000013</v>
      </c>
      <c r="T124" s="36">
        <f t="shared" si="23"/>
        <v>12.0867</v>
      </c>
      <c r="U124" s="36">
        <f t="shared" si="23"/>
        <v>15.1617</v>
      </c>
      <c r="V124" s="36" t="str">
        <f t="shared" si="23"/>
        <v>-</v>
      </c>
      <c r="W124" s="36" t="str">
        <f t="shared" si="23"/>
        <v>-</v>
      </c>
      <c r="X124" s="36" t="str">
        <f t="shared" si="20"/>
        <v>-</v>
      </c>
      <c r="Y124" s="36" t="str">
        <f t="shared" si="20"/>
        <v>-</v>
      </c>
      <c r="Z124" s="36" t="str">
        <f t="shared" si="20"/>
        <v>-</v>
      </c>
    </row>
    <row r="125" spans="1:26" x14ac:dyDescent="0.55000000000000004">
      <c r="A125" s="83"/>
      <c r="B125" s="83"/>
      <c r="C125" s="15">
        <v>11.75</v>
      </c>
      <c r="D125" s="36">
        <f t="shared" si="22"/>
        <v>0.21660000000000001</v>
      </c>
      <c r="E125" s="36">
        <f t="shared" si="22"/>
        <v>0.30557499999999999</v>
      </c>
      <c r="F125" s="36">
        <f t="shared" si="22"/>
        <v>0.37832500000000002</v>
      </c>
      <c r="G125" s="36">
        <f t="shared" si="22"/>
        <v>0.49575000000000002</v>
      </c>
      <c r="H125" s="36">
        <f t="shared" si="22"/>
        <v>0.74704999999999999</v>
      </c>
      <c r="I125" s="36">
        <f t="shared" si="22"/>
        <v>1.0525500000000001</v>
      </c>
      <c r="J125" s="36">
        <f t="shared" si="22"/>
        <v>1.4129499999999999</v>
      </c>
      <c r="K125" s="36">
        <f t="shared" si="22"/>
        <v>1.8610500000000001</v>
      </c>
      <c r="L125" s="36">
        <f t="shared" si="22"/>
        <v>2.3731</v>
      </c>
      <c r="M125" s="36">
        <f t="shared" si="22"/>
        <v>2.9575750000000003</v>
      </c>
      <c r="N125" s="36">
        <f t="shared" si="22"/>
        <v>3.6375250000000001</v>
      </c>
      <c r="O125" s="36">
        <f t="shared" si="22"/>
        <v>4.3683750000000003</v>
      </c>
      <c r="P125" s="36">
        <f t="shared" si="22"/>
        <v>5.2450500000000009</v>
      </c>
      <c r="Q125" s="36">
        <f t="shared" si="22"/>
        <v>6.1003999999999996</v>
      </c>
      <c r="R125" s="36">
        <f t="shared" si="22"/>
        <v>7.1763000000000003</v>
      </c>
      <c r="S125" s="36">
        <f t="shared" si="22"/>
        <v>9.5188500000000005</v>
      </c>
      <c r="T125" s="36">
        <f t="shared" si="23"/>
        <v>12.238150000000001</v>
      </c>
      <c r="U125" s="36">
        <f t="shared" si="23"/>
        <v>15.345649999999999</v>
      </c>
      <c r="V125" s="36" t="str">
        <f t="shared" si="23"/>
        <v>-</v>
      </c>
      <c r="W125" s="36" t="str">
        <f t="shared" si="23"/>
        <v>-</v>
      </c>
      <c r="X125" s="36" t="str">
        <f t="shared" si="20"/>
        <v>-</v>
      </c>
      <c r="Y125" s="36" t="str">
        <f t="shared" si="20"/>
        <v>-</v>
      </c>
      <c r="Z125" s="36" t="str">
        <f t="shared" si="20"/>
        <v>-</v>
      </c>
    </row>
    <row r="126" spans="1:26" x14ac:dyDescent="0.55000000000000004">
      <c r="A126" s="83"/>
      <c r="B126" s="83"/>
      <c r="C126" s="15">
        <v>12</v>
      </c>
      <c r="D126" s="36">
        <f t="shared" si="22"/>
        <v>0.22040000000000001</v>
      </c>
      <c r="E126" s="36">
        <f t="shared" si="22"/>
        <v>0.31079999999999997</v>
      </c>
      <c r="F126" s="36">
        <f t="shared" si="22"/>
        <v>0.38479999999999998</v>
      </c>
      <c r="G126" s="36">
        <f t="shared" si="22"/>
        <v>0.504</v>
      </c>
      <c r="H126" s="36">
        <f t="shared" si="22"/>
        <v>0.75919999999999999</v>
      </c>
      <c r="I126" s="36">
        <f t="shared" si="22"/>
        <v>1.0692000000000002</v>
      </c>
      <c r="J126" s="36">
        <f t="shared" si="22"/>
        <v>1.4348000000000001</v>
      </c>
      <c r="K126" s="36">
        <f t="shared" si="22"/>
        <v>1.8891999999999998</v>
      </c>
      <c r="L126" s="36">
        <f t="shared" si="22"/>
        <v>2.4083999999999999</v>
      </c>
      <c r="M126" s="36">
        <f t="shared" si="22"/>
        <v>3.0007999999999999</v>
      </c>
      <c r="N126" s="36">
        <f t="shared" si="22"/>
        <v>3.6896</v>
      </c>
      <c r="O126" s="36">
        <f t="shared" si="22"/>
        <v>4.43</v>
      </c>
      <c r="P126" s="36">
        <f t="shared" si="22"/>
        <v>5.3172000000000006</v>
      </c>
      <c r="Q126" s="36">
        <f t="shared" si="22"/>
        <v>6.1836000000000002</v>
      </c>
      <c r="R126" s="36">
        <f t="shared" si="22"/>
        <v>7.2712000000000003</v>
      </c>
      <c r="S126" s="36">
        <f t="shared" si="22"/>
        <v>9.6403999999999996</v>
      </c>
      <c r="T126" s="36">
        <f t="shared" si="23"/>
        <v>12.389600000000002</v>
      </c>
      <c r="U126" s="36">
        <f t="shared" si="23"/>
        <v>15.529599999999999</v>
      </c>
      <c r="V126" s="36">
        <f t="shared" si="23"/>
        <v>19.216799999999999</v>
      </c>
      <c r="W126" s="36" t="str">
        <f t="shared" si="23"/>
        <v>-</v>
      </c>
      <c r="X126" s="36" t="str">
        <f t="shared" si="20"/>
        <v>-</v>
      </c>
      <c r="Y126" s="36" t="str">
        <f t="shared" si="20"/>
        <v>-</v>
      </c>
      <c r="Z126" s="36" t="str">
        <f t="shared" si="20"/>
        <v>-</v>
      </c>
    </row>
    <row r="127" spans="1:26" x14ac:dyDescent="0.55000000000000004">
      <c r="A127" s="83"/>
      <c r="B127" s="83"/>
      <c r="C127" s="15">
        <v>12.25</v>
      </c>
      <c r="D127" s="36">
        <f t="shared" si="22"/>
        <v>0.22420000000000001</v>
      </c>
      <c r="E127" s="36">
        <f t="shared" si="22"/>
        <v>0.316025</v>
      </c>
      <c r="F127" s="36">
        <f t="shared" si="22"/>
        <v>0.39127499999999998</v>
      </c>
      <c r="G127" s="36">
        <f t="shared" si="22"/>
        <v>0.51224999999999998</v>
      </c>
      <c r="H127" s="36">
        <f t="shared" si="22"/>
        <v>0.77134999999999998</v>
      </c>
      <c r="I127" s="36">
        <f t="shared" si="22"/>
        <v>1.0858500000000002</v>
      </c>
      <c r="J127" s="36">
        <f t="shared" si="22"/>
        <v>1.4566500000000002</v>
      </c>
      <c r="K127" s="36">
        <f t="shared" si="22"/>
        <v>1.9173499999999999</v>
      </c>
      <c r="L127" s="36">
        <f t="shared" si="22"/>
        <v>2.4436999999999998</v>
      </c>
      <c r="M127" s="36">
        <f t="shared" si="22"/>
        <v>3.0440249999999995</v>
      </c>
      <c r="N127" s="36">
        <f t="shared" si="22"/>
        <v>3.7416750000000003</v>
      </c>
      <c r="O127" s="36">
        <f t="shared" si="22"/>
        <v>4.491625</v>
      </c>
      <c r="P127" s="36">
        <f t="shared" si="22"/>
        <v>5.3893500000000003</v>
      </c>
      <c r="Q127" s="36">
        <f t="shared" si="22"/>
        <v>6.2667999999999999</v>
      </c>
      <c r="R127" s="36">
        <f t="shared" si="22"/>
        <v>7.3661000000000003</v>
      </c>
      <c r="S127" s="36">
        <f t="shared" si="22"/>
        <v>9.7619500000000006</v>
      </c>
      <c r="T127" s="36">
        <f t="shared" si="23"/>
        <v>12.54105</v>
      </c>
      <c r="U127" s="36">
        <f t="shared" si="23"/>
        <v>15.713550000000001</v>
      </c>
      <c r="V127" s="36">
        <f t="shared" si="23"/>
        <v>19.437150000000003</v>
      </c>
      <c r="W127" s="36" t="str">
        <f t="shared" si="23"/>
        <v>-</v>
      </c>
      <c r="X127" s="36" t="str">
        <f t="shared" si="20"/>
        <v>-</v>
      </c>
      <c r="Y127" s="36" t="str">
        <f t="shared" si="20"/>
        <v>-</v>
      </c>
      <c r="Z127" s="36" t="str">
        <f t="shared" si="20"/>
        <v>-</v>
      </c>
    </row>
    <row r="128" spans="1:26" x14ac:dyDescent="0.55000000000000004">
      <c r="A128" s="83"/>
      <c r="B128" s="83"/>
      <c r="C128" s="15">
        <v>12.5</v>
      </c>
      <c r="D128" s="36">
        <f t="shared" si="22"/>
        <v>0.22800000000000001</v>
      </c>
      <c r="E128" s="36">
        <f t="shared" si="22"/>
        <v>0.32124999999999998</v>
      </c>
      <c r="F128" s="36">
        <f t="shared" si="22"/>
        <v>0.39774999999999999</v>
      </c>
      <c r="G128" s="36">
        <f t="shared" si="22"/>
        <v>0.52050000000000007</v>
      </c>
      <c r="H128" s="36">
        <f t="shared" si="22"/>
        <v>0.78349999999999997</v>
      </c>
      <c r="I128" s="36">
        <f t="shared" si="22"/>
        <v>1.1025</v>
      </c>
      <c r="J128" s="36">
        <f t="shared" si="22"/>
        <v>1.4784999999999999</v>
      </c>
      <c r="K128" s="36">
        <f t="shared" si="22"/>
        <v>1.9455</v>
      </c>
      <c r="L128" s="36">
        <f t="shared" si="22"/>
        <v>2.4790000000000001</v>
      </c>
      <c r="M128" s="36">
        <f t="shared" si="22"/>
        <v>3.08725</v>
      </c>
      <c r="N128" s="36">
        <f t="shared" si="22"/>
        <v>3.7937500000000002</v>
      </c>
      <c r="O128" s="36">
        <f t="shared" si="22"/>
        <v>4.5532500000000002</v>
      </c>
      <c r="P128" s="36">
        <f t="shared" si="22"/>
        <v>5.4615000000000009</v>
      </c>
      <c r="Q128" s="36">
        <f t="shared" si="22"/>
        <v>6.35</v>
      </c>
      <c r="R128" s="36">
        <f t="shared" si="22"/>
        <v>7.4610000000000003</v>
      </c>
      <c r="S128" s="36">
        <f t="shared" si="22"/>
        <v>9.8835000000000015</v>
      </c>
      <c r="T128" s="36">
        <f t="shared" si="23"/>
        <v>12.692499999999999</v>
      </c>
      <c r="U128" s="36">
        <f t="shared" si="23"/>
        <v>15.897500000000001</v>
      </c>
      <c r="V128" s="36">
        <f t="shared" si="23"/>
        <v>19.657499999999999</v>
      </c>
      <c r="W128" s="36" t="str">
        <f t="shared" si="23"/>
        <v>-</v>
      </c>
      <c r="X128" s="36" t="str">
        <f t="shared" si="20"/>
        <v>-</v>
      </c>
      <c r="Y128" s="36" t="str">
        <f t="shared" si="20"/>
        <v>-</v>
      </c>
      <c r="Z128" s="36" t="str">
        <f t="shared" si="20"/>
        <v>-</v>
      </c>
    </row>
    <row r="129" spans="1:26" x14ac:dyDescent="0.55000000000000004">
      <c r="A129" s="83"/>
      <c r="B129" s="83"/>
      <c r="C129" s="15">
        <v>12.75</v>
      </c>
      <c r="D129" s="36">
        <f t="shared" si="22"/>
        <v>0.23180000000000001</v>
      </c>
      <c r="E129" s="36">
        <f t="shared" si="22"/>
        <v>0.32647499999999996</v>
      </c>
      <c r="F129" s="36">
        <f t="shared" si="22"/>
        <v>0.404225</v>
      </c>
      <c r="G129" s="36">
        <f t="shared" si="22"/>
        <v>0.52875000000000005</v>
      </c>
      <c r="H129" s="36">
        <f t="shared" si="22"/>
        <v>0.79564999999999997</v>
      </c>
      <c r="I129" s="36">
        <f t="shared" si="22"/>
        <v>1.1191500000000001</v>
      </c>
      <c r="J129" s="36">
        <f t="shared" si="22"/>
        <v>1.5003500000000001</v>
      </c>
      <c r="K129" s="36">
        <f t="shared" si="22"/>
        <v>1.9736500000000001</v>
      </c>
      <c r="L129" s="36">
        <f t="shared" si="22"/>
        <v>2.5143</v>
      </c>
      <c r="M129" s="36">
        <f t="shared" si="22"/>
        <v>3.1304749999999997</v>
      </c>
      <c r="N129" s="36">
        <f t="shared" si="22"/>
        <v>3.845825</v>
      </c>
      <c r="O129" s="36">
        <f t="shared" si="22"/>
        <v>4.6148749999999996</v>
      </c>
      <c r="P129" s="36">
        <f t="shared" si="22"/>
        <v>5.5336499999999997</v>
      </c>
      <c r="Q129" s="36">
        <f t="shared" si="22"/>
        <v>6.4331999999999994</v>
      </c>
      <c r="R129" s="36">
        <f t="shared" si="22"/>
        <v>7.5559000000000003</v>
      </c>
      <c r="S129" s="36">
        <f t="shared" ref="S129:Z144" si="24">IF($C129&gt;=(4*S$82),((($C129*S$84)+(2*S$85))*1),"-")</f>
        <v>10.005050000000001</v>
      </c>
      <c r="T129" s="36">
        <f t="shared" si="24"/>
        <v>12.84395</v>
      </c>
      <c r="U129" s="36">
        <f t="shared" si="24"/>
        <v>16.08145</v>
      </c>
      <c r="V129" s="36">
        <f t="shared" si="24"/>
        <v>19.877850000000002</v>
      </c>
      <c r="W129" s="36" t="str">
        <f t="shared" si="24"/>
        <v>-</v>
      </c>
      <c r="X129" s="36" t="str">
        <f t="shared" si="24"/>
        <v>-</v>
      </c>
      <c r="Y129" s="36" t="str">
        <f t="shared" si="24"/>
        <v>-</v>
      </c>
      <c r="Z129" s="36" t="str">
        <f t="shared" si="24"/>
        <v>-</v>
      </c>
    </row>
    <row r="130" spans="1:26" x14ac:dyDescent="0.55000000000000004">
      <c r="A130" s="83"/>
      <c r="B130" s="83"/>
      <c r="C130" s="15">
        <v>13</v>
      </c>
      <c r="D130" s="36">
        <f t="shared" ref="D130:S145" si="25">IF($C130&gt;=(4*D$82),((($C130*D$84)+(2*D$85))*1),"-")</f>
        <v>0.2356</v>
      </c>
      <c r="E130" s="36">
        <f t="shared" si="25"/>
        <v>0.33169999999999999</v>
      </c>
      <c r="F130" s="36">
        <f t="shared" si="25"/>
        <v>0.41070000000000001</v>
      </c>
      <c r="G130" s="36">
        <f t="shared" si="25"/>
        <v>0.53700000000000003</v>
      </c>
      <c r="H130" s="36">
        <f t="shared" si="25"/>
        <v>0.80779999999999996</v>
      </c>
      <c r="I130" s="36">
        <f t="shared" si="25"/>
        <v>1.1358000000000001</v>
      </c>
      <c r="J130" s="36">
        <f t="shared" si="25"/>
        <v>1.5222000000000002</v>
      </c>
      <c r="K130" s="36">
        <f t="shared" si="25"/>
        <v>2.0017999999999998</v>
      </c>
      <c r="L130" s="36">
        <f t="shared" si="25"/>
        <v>2.5495999999999999</v>
      </c>
      <c r="M130" s="36">
        <f t="shared" si="25"/>
        <v>3.1737000000000002</v>
      </c>
      <c r="N130" s="36">
        <f t="shared" si="25"/>
        <v>3.8978999999999999</v>
      </c>
      <c r="O130" s="36">
        <f t="shared" si="25"/>
        <v>4.6764999999999999</v>
      </c>
      <c r="P130" s="36">
        <f t="shared" si="25"/>
        <v>5.6058000000000003</v>
      </c>
      <c r="Q130" s="36">
        <f t="shared" si="25"/>
        <v>6.5163999999999991</v>
      </c>
      <c r="R130" s="36">
        <f t="shared" si="25"/>
        <v>7.6508000000000003</v>
      </c>
      <c r="S130" s="36">
        <f t="shared" si="25"/>
        <v>10.1266</v>
      </c>
      <c r="T130" s="36">
        <f t="shared" si="24"/>
        <v>12.9954</v>
      </c>
      <c r="U130" s="36">
        <f t="shared" si="24"/>
        <v>16.2654</v>
      </c>
      <c r="V130" s="36">
        <f t="shared" si="24"/>
        <v>20.098199999999999</v>
      </c>
      <c r="W130" s="36">
        <f t="shared" si="24"/>
        <v>24.548999999999999</v>
      </c>
      <c r="X130" s="36" t="str">
        <f t="shared" si="24"/>
        <v>-</v>
      </c>
      <c r="Y130" s="36" t="str">
        <f t="shared" si="24"/>
        <v>-</v>
      </c>
      <c r="Z130" s="36" t="str">
        <f t="shared" si="24"/>
        <v>-</v>
      </c>
    </row>
    <row r="131" spans="1:26" x14ac:dyDescent="0.55000000000000004">
      <c r="A131" s="83"/>
      <c r="B131" s="83"/>
      <c r="C131" s="15">
        <v>13.25</v>
      </c>
      <c r="D131" s="36">
        <f t="shared" si="25"/>
        <v>0.2394</v>
      </c>
      <c r="E131" s="36">
        <f t="shared" si="25"/>
        <v>0.33692499999999997</v>
      </c>
      <c r="F131" s="36">
        <f t="shared" si="25"/>
        <v>0.41717500000000002</v>
      </c>
      <c r="G131" s="36">
        <f t="shared" si="25"/>
        <v>0.54525000000000001</v>
      </c>
      <c r="H131" s="36">
        <f t="shared" si="25"/>
        <v>0.81994999999999996</v>
      </c>
      <c r="I131" s="36">
        <f t="shared" si="25"/>
        <v>1.15245</v>
      </c>
      <c r="J131" s="36">
        <f t="shared" si="25"/>
        <v>1.5440499999999999</v>
      </c>
      <c r="K131" s="36">
        <f t="shared" si="25"/>
        <v>2.0299499999999999</v>
      </c>
      <c r="L131" s="36">
        <f t="shared" si="25"/>
        <v>2.5848999999999998</v>
      </c>
      <c r="M131" s="36">
        <f t="shared" si="25"/>
        <v>3.2169249999999998</v>
      </c>
      <c r="N131" s="36">
        <f t="shared" si="25"/>
        <v>3.9499750000000002</v>
      </c>
      <c r="O131" s="36">
        <f t="shared" si="25"/>
        <v>4.7381250000000001</v>
      </c>
      <c r="P131" s="36">
        <f t="shared" si="25"/>
        <v>5.6779500000000009</v>
      </c>
      <c r="Q131" s="36">
        <f t="shared" si="25"/>
        <v>6.5996000000000006</v>
      </c>
      <c r="R131" s="36">
        <f t="shared" si="25"/>
        <v>7.7457000000000003</v>
      </c>
      <c r="S131" s="36">
        <f t="shared" si="25"/>
        <v>10.248150000000001</v>
      </c>
      <c r="T131" s="36">
        <f t="shared" si="24"/>
        <v>13.146850000000001</v>
      </c>
      <c r="U131" s="36">
        <f t="shared" si="24"/>
        <v>16.449349999999999</v>
      </c>
      <c r="V131" s="36">
        <f t="shared" si="24"/>
        <v>20.318550000000002</v>
      </c>
      <c r="W131" s="36">
        <f t="shared" si="24"/>
        <v>24.812249999999999</v>
      </c>
      <c r="X131" s="36" t="str">
        <f t="shared" si="24"/>
        <v>-</v>
      </c>
      <c r="Y131" s="36" t="str">
        <f t="shared" si="24"/>
        <v>-</v>
      </c>
      <c r="Z131" s="36" t="str">
        <f t="shared" si="24"/>
        <v>-</v>
      </c>
    </row>
    <row r="132" spans="1:26" x14ac:dyDescent="0.55000000000000004">
      <c r="A132" s="83"/>
      <c r="B132" s="83"/>
      <c r="C132" s="15">
        <v>13.5</v>
      </c>
      <c r="D132" s="36">
        <f t="shared" si="25"/>
        <v>0.2432</v>
      </c>
      <c r="E132" s="36">
        <f t="shared" si="25"/>
        <v>0.34214999999999995</v>
      </c>
      <c r="F132" s="36">
        <f t="shared" si="25"/>
        <v>0.42365000000000003</v>
      </c>
      <c r="G132" s="36">
        <f t="shared" si="25"/>
        <v>0.55349999999999999</v>
      </c>
      <c r="H132" s="36">
        <f t="shared" si="25"/>
        <v>0.83210000000000006</v>
      </c>
      <c r="I132" s="36">
        <f t="shared" si="25"/>
        <v>1.1691000000000003</v>
      </c>
      <c r="J132" s="36">
        <f t="shared" si="25"/>
        <v>1.5659000000000001</v>
      </c>
      <c r="K132" s="36">
        <f t="shared" si="25"/>
        <v>2.0581</v>
      </c>
      <c r="L132" s="36">
        <f t="shared" si="25"/>
        <v>2.6202000000000001</v>
      </c>
      <c r="M132" s="36">
        <f t="shared" si="25"/>
        <v>3.2601500000000003</v>
      </c>
      <c r="N132" s="36">
        <f t="shared" si="25"/>
        <v>4.0020500000000006</v>
      </c>
      <c r="O132" s="36">
        <f t="shared" si="25"/>
        <v>4.7997499999999995</v>
      </c>
      <c r="P132" s="36">
        <f t="shared" si="25"/>
        <v>5.7500999999999998</v>
      </c>
      <c r="Q132" s="36">
        <f t="shared" si="25"/>
        <v>6.6828000000000003</v>
      </c>
      <c r="R132" s="36">
        <f t="shared" si="25"/>
        <v>7.8406000000000002</v>
      </c>
      <c r="S132" s="36">
        <f t="shared" si="25"/>
        <v>10.3697</v>
      </c>
      <c r="T132" s="36">
        <f t="shared" si="24"/>
        <v>13.298300000000001</v>
      </c>
      <c r="U132" s="36">
        <f t="shared" si="24"/>
        <v>16.633300000000002</v>
      </c>
      <c r="V132" s="36">
        <f t="shared" si="24"/>
        <v>20.538899999999998</v>
      </c>
      <c r="W132" s="36">
        <f t="shared" si="24"/>
        <v>25.075499999999998</v>
      </c>
      <c r="X132" s="36" t="str">
        <f t="shared" si="24"/>
        <v>-</v>
      </c>
      <c r="Y132" s="36" t="str">
        <f t="shared" si="24"/>
        <v>-</v>
      </c>
      <c r="Z132" s="36" t="str">
        <f t="shared" si="24"/>
        <v>-</v>
      </c>
    </row>
    <row r="133" spans="1:26" x14ac:dyDescent="0.55000000000000004">
      <c r="A133" s="83"/>
      <c r="B133" s="83"/>
      <c r="C133" s="15">
        <v>13.75</v>
      </c>
      <c r="D133" s="36">
        <f t="shared" si="25"/>
        <v>0.247</v>
      </c>
      <c r="E133" s="36">
        <f t="shared" si="25"/>
        <v>0.34737499999999999</v>
      </c>
      <c r="F133" s="36">
        <f t="shared" si="25"/>
        <v>0.43012499999999998</v>
      </c>
      <c r="G133" s="36">
        <f t="shared" si="25"/>
        <v>0.56175000000000008</v>
      </c>
      <c r="H133" s="36">
        <f t="shared" si="25"/>
        <v>0.84425000000000006</v>
      </c>
      <c r="I133" s="36">
        <f t="shared" si="25"/>
        <v>1.1857500000000001</v>
      </c>
      <c r="J133" s="36">
        <f t="shared" si="25"/>
        <v>1.5877500000000002</v>
      </c>
      <c r="K133" s="36">
        <f t="shared" si="25"/>
        <v>2.0862500000000002</v>
      </c>
      <c r="L133" s="36">
        <f t="shared" si="25"/>
        <v>2.6555</v>
      </c>
      <c r="M133" s="36">
        <f t="shared" si="25"/>
        <v>3.303375</v>
      </c>
      <c r="N133" s="36">
        <f t="shared" si="25"/>
        <v>4.054125</v>
      </c>
      <c r="O133" s="36">
        <f t="shared" si="25"/>
        <v>4.8613749999999998</v>
      </c>
      <c r="P133" s="36">
        <f t="shared" si="25"/>
        <v>5.8222500000000004</v>
      </c>
      <c r="Q133" s="36">
        <f t="shared" si="25"/>
        <v>6.766</v>
      </c>
      <c r="R133" s="36">
        <f t="shared" si="25"/>
        <v>7.9355000000000002</v>
      </c>
      <c r="S133" s="36">
        <f t="shared" si="25"/>
        <v>10.491250000000001</v>
      </c>
      <c r="T133" s="36">
        <f t="shared" si="24"/>
        <v>13.449750000000002</v>
      </c>
      <c r="U133" s="36">
        <f t="shared" si="24"/>
        <v>16.817250000000001</v>
      </c>
      <c r="V133" s="36">
        <f t="shared" si="24"/>
        <v>20.759250000000002</v>
      </c>
      <c r="W133" s="36">
        <f t="shared" si="24"/>
        <v>25.338749999999997</v>
      </c>
      <c r="X133" s="36" t="str">
        <f t="shared" si="24"/>
        <v>-</v>
      </c>
      <c r="Y133" s="36" t="str">
        <f t="shared" si="24"/>
        <v>-</v>
      </c>
      <c r="Z133" s="36" t="str">
        <f t="shared" si="24"/>
        <v>-</v>
      </c>
    </row>
    <row r="134" spans="1:26" x14ac:dyDescent="0.55000000000000004">
      <c r="A134" s="83"/>
      <c r="B134" s="83"/>
      <c r="C134" s="15">
        <v>14</v>
      </c>
      <c r="D134" s="36">
        <f t="shared" si="25"/>
        <v>0.25079999999999997</v>
      </c>
      <c r="E134" s="36">
        <f t="shared" si="25"/>
        <v>0.35259999999999997</v>
      </c>
      <c r="F134" s="36">
        <f t="shared" si="25"/>
        <v>0.43659999999999999</v>
      </c>
      <c r="G134" s="36">
        <f t="shared" si="25"/>
        <v>0.57000000000000006</v>
      </c>
      <c r="H134" s="36">
        <f t="shared" si="25"/>
        <v>0.85640000000000005</v>
      </c>
      <c r="I134" s="36">
        <f t="shared" si="25"/>
        <v>1.2024000000000001</v>
      </c>
      <c r="J134" s="36">
        <f t="shared" si="25"/>
        <v>1.6095999999999999</v>
      </c>
      <c r="K134" s="36">
        <f t="shared" si="25"/>
        <v>2.1143999999999998</v>
      </c>
      <c r="L134" s="36">
        <f t="shared" si="25"/>
        <v>2.6907999999999999</v>
      </c>
      <c r="M134" s="36">
        <f t="shared" si="25"/>
        <v>3.3465999999999996</v>
      </c>
      <c r="N134" s="36">
        <f t="shared" si="25"/>
        <v>4.1062000000000003</v>
      </c>
      <c r="O134" s="36">
        <f t="shared" si="25"/>
        <v>4.923</v>
      </c>
      <c r="P134" s="36">
        <f t="shared" si="25"/>
        <v>5.8944000000000001</v>
      </c>
      <c r="Q134" s="36">
        <f t="shared" si="25"/>
        <v>6.8491999999999997</v>
      </c>
      <c r="R134" s="36">
        <f t="shared" si="25"/>
        <v>8.0304000000000002</v>
      </c>
      <c r="S134" s="36">
        <f t="shared" si="25"/>
        <v>10.6128</v>
      </c>
      <c r="T134" s="36">
        <f t="shared" si="24"/>
        <v>13.601199999999999</v>
      </c>
      <c r="U134" s="36">
        <f t="shared" si="24"/>
        <v>17.001200000000001</v>
      </c>
      <c r="V134" s="36">
        <f t="shared" si="24"/>
        <v>20.979599999999998</v>
      </c>
      <c r="W134" s="36">
        <f t="shared" si="24"/>
        <v>25.601999999999997</v>
      </c>
      <c r="X134" s="36">
        <f t="shared" si="24"/>
        <v>31.0608</v>
      </c>
      <c r="Y134" s="36" t="str">
        <f t="shared" si="24"/>
        <v>-</v>
      </c>
      <c r="Z134" s="36" t="str">
        <f t="shared" si="24"/>
        <v>-</v>
      </c>
    </row>
    <row r="135" spans="1:26" x14ac:dyDescent="0.55000000000000004">
      <c r="A135" s="83"/>
      <c r="B135" s="83"/>
      <c r="C135" s="15">
        <v>14.25</v>
      </c>
      <c r="D135" s="36">
        <f t="shared" si="25"/>
        <v>0.25459999999999999</v>
      </c>
      <c r="E135" s="36">
        <f t="shared" si="25"/>
        <v>0.35782499999999995</v>
      </c>
      <c r="F135" s="36">
        <f t="shared" si="25"/>
        <v>0.443075</v>
      </c>
      <c r="G135" s="36">
        <f t="shared" si="25"/>
        <v>0.57825000000000004</v>
      </c>
      <c r="H135" s="36">
        <f t="shared" si="25"/>
        <v>0.86855000000000004</v>
      </c>
      <c r="I135" s="36">
        <f t="shared" si="25"/>
        <v>1.2190500000000002</v>
      </c>
      <c r="J135" s="36">
        <f t="shared" si="25"/>
        <v>1.6314500000000001</v>
      </c>
      <c r="K135" s="36">
        <f t="shared" si="25"/>
        <v>2.14255</v>
      </c>
      <c r="L135" s="36">
        <f t="shared" si="25"/>
        <v>2.7260999999999997</v>
      </c>
      <c r="M135" s="36">
        <f t="shared" si="25"/>
        <v>3.3898250000000001</v>
      </c>
      <c r="N135" s="36">
        <f t="shared" si="25"/>
        <v>4.1582749999999997</v>
      </c>
      <c r="O135" s="36">
        <f t="shared" si="25"/>
        <v>4.9846249999999994</v>
      </c>
      <c r="P135" s="36">
        <f t="shared" si="25"/>
        <v>5.9665500000000007</v>
      </c>
      <c r="Q135" s="36">
        <f t="shared" si="25"/>
        <v>6.9323999999999995</v>
      </c>
      <c r="R135" s="36">
        <f t="shared" si="25"/>
        <v>8.1252999999999993</v>
      </c>
      <c r="S135" s="36">
        <f t="shared" si="25"/>
        <v>10.734349999999999</v>
      </c>
      <c r="T135" s="36">
        <f t="shared" si="24"/>
        <v>13.752649999999999</v>
      </c>
      <c r="U135" s="36">
        <f t="shared" si="24"/>
        <v>17.18515</v>
      </c>
      <c r="V135" s="36">
        <f t="shared" si="24"/>
        <v>21.199950000000001</v>
      </c>
      <c r="W135" s="36">
        <f t="shared" si="24"/>
        <v>25.865249999999996</v>
      </c>
      <c r="X135" s="36">
        <f t="shared" si="24"/>
        <v>31.367600000000003</v>
      </c>
      <c r="Y135" s="36" t="str">
        <f t="shared" si="24"/>
        <v>-</v>
      </c>
      <c r="Z135" s="36" t="str">
        <f t="shared" si="24"/>
        <v>-</v>
      </c>
    </row>
    <row r="136" spans="1:26" x14ac:dyDescent="0.55000000000000004">
      <c r="A136" s="83"/>
      <c r="B136" s="83"/>
      <c r="C136" s="15">
        <v>14.5</v>
      </c>
      <c r="D136" s="36">
        <f t="shared" si="25"/>
        <v>0.25840000000000002</v>
      </c>
      <c r="E136" s="36">
        <f t="shared" si="25"/>
        <v>0.36304999999999998</v>
      </c>
      <c r="F136" s="36">
        <f t="shared" si="25"/>
        <v>0.44955000000000001</v>
      </c>
      <c r="G136" s="36">
        <f t="shared" si="25"/>
        <v>0.58650000000000002</v>
      </c>
      <c r="H136" s="36">
        <f t="shared" si="25"/>
        <v>0.88070000000000004</v>
      </c>
      <c r="I136" s="36">
        <f t="shared" si="25"/>
        <v>1.2357</v>
      </c>
      <c r="J136" s="36">
        <f t="shared" si="25"/>
        <v>1.6533000000000002</v>
      </c>
      <c r="K136" s="36">
        <f t="shared" si="25"/>
        <v>2.1707000000000001</v>
      </c>
      <c r="L136" s="36">
        <f t="shared" si="25"/>
        <v>2.7613999999999996</v>
      </c>
      <c r="M136" s="36">
        <f t="shared" si="25"/>
        <v>3.4330499999999997</v>
      </c>
      <c r="N136" s="36">
        <f t="shared" si="25"/>
        <v>4.21035</v>
      </c>
      <c r="O136" s="36">
        <f t="shared" si="25"/>
        <v>5.0462500000000006</v>
      </c>
      <c r="P136" s="36">
        <f t="shared" si="25"/>
        <v>6.0387000000000004</v>
      </c>
      <c r="Q136" s="36">
        <f t="shared" si="25"/>
        <v>7.0155999999999992</v>
      </c>
      <c r="R136" s="36">
        <f t="shared" si="25"/>
        <v>8.2202000000000002</v>
      </c>
      <c r="S136" s="36">
        <f t="shared" si="25"/>
        <v>10.8559</v>
      </c>
      <c r="T136" s="36">
        <f t="shared" si="24"/>
        <v>13.9041</v>
      </c>
      <c r="U136" s="36">
        <f t="shared" si="24"/>
        <v>17.3691</v>
      </c>
      <c r="V136" s="36">
        <f t="shared" si="24"/>
        <v>21.420299999999997</v>
      </c>
      <c r="W136" s="36">
        <f t="shared" si="24"/>
        <v>26.128499999999999</v>
      </c>
      <c r="X136" s="36">
        <f t="shared" si="24"/>
        <v>31.674399999999999</v>
      </c>
      <c r="Y136" s="36" t="str">
        <f t="shared" si="24"/>
        <v>-</v>
      </c>
      <c r="Z136" s="36" t="str">
        <f t="shared" si="24"/>
        <v>-</v>
      </c>
    </row>
    <row r="137" spans="1:26" x14ac:dyDescent="0.55000000000000004">
      <c r="A137" s="83"/>
      <c r="B137" s="83"/>
      <c r="C137" s="15">
        <v>14.75</v>
      </c>
      <c r="D137" s="36">
        <f t="shared" si="25"/>
        <v>0.26219999999999999</v>
      </c>
      <c r="E137" s="36">
        <f t="shared" si="25"/>
        <v>0.36827499999999996</v>
      </c>
      <c r="F137" s="36">
        <f t="shared" si="25"/>
        <v>0.45602500000000001</v>
      </c>
      <c r="G137" s="36">
        <f t="shared" si="25"/>
        <v>0.59475</v>
      </c>
      <c r="H137" s="36">
        <f t="shared" si="25"/>
        <v>0.89285000000000003</v>
      </c>
      <c r="I137" s="36">
        <f t="shared" si="25"/>
        <v>1.2523500000000001</v>
      </c>
      <c r="J137" s="36">
        <f t="shared" si="25"/>
        <v>1.6751499999999999</v>
      </c>
      <c r="K137" s="36">
        <f t="shared" si="25"/>
        <v>2.1988500000000002</v>
      </c>
      <c r="L137" s="36">
        <f t="shared" si="25"/>
        <v>2.7967</v>
      </c>
      <c r="M137" s="36">
        <f t="shared" si="25"/>
        <v>3.4762750000000002</v>
      </c>
      <c r="N137" s="36">
        <f t="shared" si="25"/>
        <v>4.2624250000000004</v>
      </c>
      <c r="O137" s="36">
        <f t="shared" si="25"/>
        <v>5.1078749999999999</v>
      </c>
      <c r="P137" s="36">
        <f t="shared" si="25"/>
        <v>6.1108500000000001</v>
      </c>
      <c r="Q137" s="36">
        <f t="shared" si="25"/>
        <v>7.0987999999999989</v>
      </c>
      <c r="R137" s="36">
        <f t="shared" si="25"/>
        <v>8.315100000000001</v>
      </c>
      <c r="S137" s="36">
        <f t="shared" si="25"/>
        <v>10.977450000000001</v>
      </c>
      <c r="T137" s="36">
        <f t="shared" si="24"/>
        <v>14.05555</v>
      </c>
      <c r="U137" s="36">
        <f t="shared" si="24"/>
        <v>17.553049999999999</v>
      </c>
      <c r="V137" s="36">
        <f t="shared" si="24"/>
        <v>21.640650000000001</v>
      </c>
      <c r="W137" s="36">
        <f t="shared" si="24"/>
        <v>26.391749999999998</v>
      </c>
      <c r="X137" s="36">
        <f t="shared" si="24"/>
        <v>31.981200000000001</v>
      </c>
      <c r="Y137" s="36" t="str">
        <f t="shared" si="24"/>
        <v>-</v>
      </c>
      <c r="Z137" s="36" t="str">
        <f t="shared" si="24"/>
        <v>-</v>
      </c>
    </row>
    <row r="138" spans="1:26" x14ac:dyDescent="0.55000000000000004">
      <c r="A138" s="83"/>
      <c r="B138" s="83"/>
      <c r="C138" s="15">
        <v>15</v>
      </c>
      <c r="D138" s="36">
        <f t="shared" si="25"/>
        <v>0.26600000000000001</v>
      </c>
      <c r="E138" s="36">
        <f t="shared" si="25"/>
        <v>0.3735</v>
      </c>
      <c r="F138" s="36">
        <f t="shared" si="25"/>
        <v>0.46250000000000002</v>
      </c>
      <c r="G138" s="36">
        <f t="shared" si="25"/>
        <v>0.60299999999999998</v>
      </c>
      <c r="H138" s="36">
        <f t="shared" si="25"/>
        <v>0.90500000000000003</v>
      </c>
      <c r="I138" s="36">
        <f t="shared" si="25"/>
        <v>1.2690000000000001</v>
      </c>
      <c r="J138" s="36">
        <f t="shared" si="25"/>
        <v>1.6970000000000001</v>
      </c>
      <c r="K138" s="36">
        <f t="shared" si="25"/>
        <v>2.2269999999999999</v>
      </c>
      <c r="L138" s="36">
        <f t="shared" si="25"/>
        <v>2.8319999999999999</v>
      </c>
      <c r="M138" s="36">
        <f t="shared" si="25"/>
        <v>3.5194999999999999</v>
      </c>
      <c r="N138" s="36">
        <f t="shared" si="25"/>
        <v>4.3145000000000007</v>
      </c>
      <c r="O138" s="36">
        <f t="shared" si="25"/>
        <v>5.1694999999999993</v>
      </c>
      <c r="P138" s="36">
        <f t="shared" si="25"/>
        <v>6.1830000000000007</v>
      </c>
      <c r="Q138" s="36">
        <f t="shared" si="25"/>
        <v>7.1820000000000004</v>
      </c>
      <c r="R138" s="36">
        <f t="shared" si="25"/>
        <v>8.41</v>
      </c>
      <c r="S138" s="36">
        <f t="shared" si="25"/>
        <v>11.099</v>
      </c>
      <c r="T138" s="36">
        <f t="shared" si="24"/>
        <v>14.207000000000001</v>
      </c>
      <c r="U138" s="36">
        <f t="shared" si="24"/>
        <v>17.737000000000002</v>
      </c>
      <c r="V138" s="36">
        <f t="shared" si="24"/>
        <v>21.861000000000001</v>
      </c>
      <c r="W138" s="36">
        <f t="shared" si="24"/>
        <v>26.654999999999998</v>
      </c>
      <c r="X138" s="36">
        <f t="shared" si="24"/>
        <v>32.288000000000004</v>
      </c>
      <c r="Y138" s="36">
        <f t="shared" si="24"/>
        <v>37.15</v>
      </c>
      <c r="Z138" s="36" t="str">
        <f t="shared" si="24"/>
        <v>-</v>
      </c>
    </row>
    <row r="139" spans="1:26" x14ac:dyDescent="0.55000000000000004">
      <c r="A139" s="83"/>
      <c r="B139" s="83"/>
      <c r="C139" s="15">
        <v>15.25</v>
      </c>
      <c r="D139" s="36">
        <f t="shared" si="25"/>
        <v>0.26979999999999998</v>
      </c>
      <c r="E139" s="36">
        <f t="shared" si="25"/>
        <v>0.37872499999999998</v>
      </c>
      <c r="F139" s="36">
        <f t="shared" si="25"/>
        <v>0.46897499999999998</v>
      </c>
      <c r="G139" s="36">
        <f t="shared" si="25"/>
        <v>0.61124999999999996</v>
      </c>
      <c r="H139" s="36">
        <f t="shared" si="25"/>
        <v>0.91715000000000002</v>
      </c>
      <c r="I139" s="36">
        <f t="shared" si="25"/>
        <v>1.2856500000000002</v>
      </c>
      <c r="J139" s="36">
        <f t="shared" si="25"/>
        <v>1.7188500000000002</v>
      </c>
      <c r="K139" s="36">
        <f t="shared" si="25"/>
        <v>2.25515</v>
      </c>
      <c r="L139" s="36">
        <f t="shared" si="25"/>
        <v>2.8672999999999997</v>
      </c>
      <c r="M139" s="36">
        <f t="shared" si="25"/>
        <v>3.5627249999999995</v>
      </c>
      <c r="N139" s="36">
        <f t="shared" si="25"/>
        <v>4.3665750000000001</v>
      </c>
      <c r="O139" s="36">
        <f t="shared" si="25"/>
        <v>5.2311250000000005</v>
      </c>
      <c r="P139" s="36">
        <f t="shared" si="25"/>
        <v>6.2551500000000004</v>
      </c>
      <c r="Q139" s="36">
        <f t="shared" si="25"/>
        <v>7.2652000000000001</v>
      </c>
      <c r="R139" s="36">
        <f t="shared" si="25"/>
        <v>8.5048999999999992</v>
      </c>
      <c r="S139" s="36">
        <f t="shared" si="25"/>
        <v>11.220549999999999</v>
      </c>
      <c r="T139" s="36">
        <f t="shared" si="24"/>
        <v>14.358450000000001</v>
      </c>
      <c r="U139" s="36">
        <f t="shared" si="24"/>
        <v>17.920950000000001</v>
      </c>
      <c r="V139" s="36">
        <f t="shared" si="24"/>
        <v>22.08135</v>
      </c>
      <c r="W139" s="36">
        <f t="shared" si="24"/>
        <v>26.918249999999997</v>
      </c>
      <c r="X139" s="36">
        <f t="shared" si="24"/>
        <v>32.594799999999999</v>
      </c>
      <c r="Y139" s="36">
        <f t="shared" si="24"/>
        <v>37.494500000000002</v>
      </c>
      <c r="Z139" s="36" t="str">
        <f t="shared" si="24"/>
        <v>-</v>
      </c>
    </row>
    <row r="140" spans="1:26" x14ac:dyDescent="0.55000000000000004">
      <c r="A140" s="83"/>
      <c r="B140" s="83"/>
      <c r="C140" s="15">
        <v>15.5</v>
      </c>
      <c r="D140" s="36">
        <f t="shared" si="25"/>
        <v>0.27360000000000001</v>
      </c>
      <c r="E140" s="36">
        <f t="shared" si="25"/>
        <v>0.38394999999999996</v>
      </c>
      <c r="F140" s="36">
        <f t="shared" si="25"/>
        <v>0.47544999999999998</v>
      </c>
      <c r="G140" s="36">
        <f t="shared" si="25"/>
        <v>0.61950000000000005</v>
      </c>
      <c r="H140" s="36">
        <f t="shared" si="25"/>
        <v>0.92930000000000001</v>
      </c>
      <c r="I140" s="36">
        <f t="shared" si="25"/>
        <v>1.3023</v>
      </c>
      <c r="J140" s="36">
        <f t="shared" si="25"/>
        <v>1.7406999999999999</v>
      </c>
      <c r="K140" s="36">
        <f t="shared" si="25"/>
        <v>2.2833000000000001</v>
      </c>
      <c r="L140" s="36">
        <f t="shared" si="25"/>
        <v>2.9026000000000001</v>
      </c>
      <c r="M140" s="36">
        <f t="shared" si="25"/>
        <v>3.60595</v>
      </c>
      <c r="N140" s="36">
        <f t="shared" si="25"/>
        <v>4.4186499999999995</v>
      </c>
      <c r="O140" s="36">
        <f t="shared" si="25"/>
        <v>5.2927499999999998</v>
      </c>
      <c r="P140" s="36">
        <f t="shared" si="25"/>
        <v>6.3273000000000001</v>
      </c>
      <c r="Q140" s="36">
        <f t="shared" si="25"/>
        <v>7.3483999999999998</v>
      </c>
      <c r="R140" s="36">
        <f t="shared" si="25"/>
        <v>8.5998000000000001</v>
      </c>
      <c r="S140" s="36">
        <f t="shared" si="25"/>
        <v>11.3421</v>
      </c>
      <c r="T140" s="36">
        <f t="shared" si="24"/>
        <v>14.509900000000002</v>
      </c>
      <c r="U140" s="36">
        <f t="shared" si="24"/>
        <v>18.104900000000001</v>
      </c>
      <c r="V140" s="36">
        <f t="shared" si="24"/>
        <v>22.3017</v>
      </c>
      <c r="W140" s="36">
        <f t="shared" si="24"/>
        <v>27.1815</v>
      </c>
      <c r="X140" s="36">
        <f t="shared" si="24"/>
        <v>32.901600000000002</v>
      </c>
      <c r="Y140" s="36">
        <f t="shared" si="24"/>
        <v>37.838999999999999</v>
      </c>
      <c r="Z140" s="36" t="str">
        <f t="shared" si="24"/>
        <v>-</v>
      </c>
    </row>
    <row r="141" spans="1:26" x14ac:dyDescent="0.55000000000000004">
      <c r="A141" s="83"/>
      <c r="B141" s="83"/>
      <c r="C141" s="15">
        <v>15.75</v>
      </c>
      <c r="D141" s="36">
        <f t="shared" si="25"/>
        <v>0.27739999999999998</v>
      </c>
      <c r="E141" s="36">
        <f t="shared" si="25"/>
        <v>0.38917499999999999</v>
      </c>
      <c r="F141" s="36">
        <f t="shared" si="25"/>
        <v>0.48192499999999999</v>
      </c>
      <c r="G141" s="36">
        <f t="shared" si="25"/>
        <v>0.62775000000000003</v>
      </c>
      <c r="H141" s="36">
        <f t="shared" si="25"/>
        <v>0.94145000000000001</v>
      </c>
      <c r="I141" s="36">
        <f t="shared" si="25"/>
        <v>1.3189500000000001</v>
      </c>
      <c r="J141" s="36">
        <f t="shared" si="25"/>
        <v>1.7625500000000001</v>
      </c>
      <c r="K141" s="36">
        <f t="shared" si="25"/>
        <v>2.3114500000000002</v>
      </c>
      <c r="L141" s="36">
        <f t="shared" si="25"/>
        <v>2.9379</v>
      </c>
      <c r="M141" s="36">
        <f t="shared" si="25"/>
        <v>3.6491749999999996</v>
      </c>
      <c r="N141" s="36">
        <f t="shared" si="25"/>
        <v>4.4707249999999998</v>
      </c>
      <c r="O141" s="36">
        <f t="shared" si="25"/>
        <v>5.3543750000000001</v>
      </c>
      <c r="P141" s="36">
        <f t="shared" si="25"/>
        <v>6.3994500000000007</v>
      </c>
      <c r="Q141" s="36">
        <f t="shared" si="25"/>
        <v>7.4315999999999995</v>
      </c>
      <c r="R141" s="36">
        <f t="shared" si="25"/>
        <v>8.694700000000001</v>
      </c>
      <c r="S141" s="36">
        <f t="shared" si="25"/>
        <v>11.463650000000001</v>
      </c>
      <c r="T141" s="36">
        <f t="shared" si="24"/>
        <v>14.661349999999999</v>
      </c>
      <c r="U141" s="36">
        <f t="shared" si="24"/>
        <v>18.28885</v>
      </c>
      <c r="V141" s="36">
        <f t="shared" si="24"/>
        <v>22.52205</v>
      </c>
      <c r="W141" s="36">
        <f t="shared" si="24"/>
        <v>27.444749999999999</v>
      </c>
      <c r="X141" s="36">
        <f t="shared" si="24"/>
        <v>33.208400000000005</v>
      </c>
      <c r="Y141" s="36">
        <f t="shared" si="24"/>
        <v>38.183499999999995</v>
      </c>
      <c r="Z141" s="36" t="str">
        <f t="shared" si="24"/>
        <v>-</v>
      </c>
    </row>
    <row r="142" spans="1:26" x14ac:dyDescent="0.55000000000000004">
      <c r="A142" s="83"/>
      <c r="B142" s="83"/>
      <c r="C142" s="15">
        <v>16</v>
      </c>
      <c r="D142" s="36">
        <f t="shared" si="25"/>
        <v>0.28120000000000001</v>
      </c>
      <c r="E142" s="36">
        <f t="shared" si="25"/>
        <v>0.39439999999999997</v>
      </c>
      <c r="F142" s="36">
        <f t="shared" si="25"/>
        <v>0.4884</v>
      </c>
      <c r="G142" s="36">
        <f t="shared" si="25"/>
        <v>0.63600000000000001</v>
      </c>
      <c r="H142" s="36">
        <f t="shared" si="25"/>
        <v>0.9536</v>
      </c>
      <c r="I142" s="36">
        <f t="shared" si="25"/>
        <v>1.3356000000000001</v>
      </c>
      <c r="J142" s="36">
        <f t="shared" si="25"/>
        <v>1.7844000000000002</v>
      </c>
      <c r="K142" s="36">
        <f t="shared" si="25"/>
        <v>2.3395999999999999</v>
      </c>
      <c r="L142" s="36">
        <f t="shared" si="25"/>
        <v>2.9731999999999998</v>
      </c>
      <c r="M142" s="36">
        <f t="shared" si="25"/>
        <v>3.6924000000000001</v>
      </c>
      <c r="N142" s="36">
        <f t="shared" si="25"/>
        <v>4.5228000000000002</v>
      </c>
      <c r="O142" s="36">
        <f t="shared" si="25"/>
        <v>5.4160000000000004</v>
      </c>
      <c r="P142" s="36">
        <f t="shared" si="25"/>
        <v>6.4716000000000005</v>
      </c>
      <c r="Q142" s="36">
        <f t="shared" si="25"/>
        <v>7.5147999999999993</v>
      </c>
      <c r="R142" s="36">
        <f t="shared" si="25"/>
        <v>8.7896000000000001</v>
      </c>
      <c r="S142" s="36">
        <f t="shared" si="25"/>
        <v>11.5852</v>
      </c>
      <c r="T142" s="36">
        <f t="shared" si="24"/>
        <v>14.812799999999999</v>
      </c>
      <c r="U142" s="36">
        <f t="shared" si="24"/>
        <v>18.472799999999999</v>
      </c>
      <c r="V142" s="36">
        <f t="shared" si="24"/>
        <v>22.7424</v>
      </c>
      <c r="W142" s="36">
        <f t="shared" si="24"/>
        <v>27.707999999999998</v>
      </c>
      <c r="X142" s="36">
        <f t="shared" si="24"/>
        <v>33.5152</v>
      </c>
      <c r="Y142" s="36">
        <f t="shared" si="24"/>
        <v>38.527999999999999</v>
      </c>
      <c r="Z142" s="36">
        <f t="shared" si="24"/>
        <v>45.1464</v>
      </c>
    </row>
    <row r="143" spans="1:26" x14ac:dyDescent="0.55000000000000004">
      <c r="A143" s="83"/>
      <c r="B143" s="83"/>
      <c r="C143" s="15">
        <v>16.25</v>
      </c>
      <c r="D143" s="36">
        <f t="shared" si="25"/>
        <v>0.28499999999999998</v>
      </c>
      <c r="E143" s="36">
        <f t="shared" si="25"/>
        <v>0.39962499999999995</v>
      </c>
      <c r="F143" s="36">
        <f t="shared" si="25"/>
        <v>0.49487500000000001</v>
      </c>
      <c r="G143" s="36">
        <f t="shared" si="25"/>
        <v>0.64424999999999999</v>
      </c>
      <c r="H143" s="36">
        <f t="shared" si="25"/>
        <v>0.96575</v>
      </c>
      <c r="I143" s="36">
        <f t="shared" si="25"/>
        <v>1.3522500000000002</v>
      </c>
      <c r="J143" s="36">
        <f t="shared" si="25"/>
        <v>1.8062499999999999</v>
      </c>
      <c r="K143" s="36">
        <f t="shared" si="25"/>
        <v>2.36775</v>
      </c>
      <c r="L143" s="36">
        <f t="shared" si="25"/>
        <v>3.0084999999999997</v>
      </c>
      <c r="M143" s="36">
        <f t="shared" si="25"/>
        <v>3.7356249999999998</v>
      </c>
      <c r="N143" s="36">
        <f t="shared" si="25"/>
        <v>4.5748750000000005</v>
      </c>
      <c r="O143" s="36">
        <f t="shared" si="25"/>
        <v>5.4776249999999997</v>
      </c>
      <c r="P143" s="36">
        <f t="shared" si="25"/>
        <v>6.5437500000000002</v>
      </c>
      <c r="Q143" s="36">
        <f t="shared" si="25"/>
        <v>7.597999999999999</v>
      </c>
      <c r="R143" s="36">
        <f t="shared" si="25"/>
        <v>8.8844999999999992</v>
      </c>
      <c r="S143" s="36">
        <f t="shared" si="25"/>
        <v>11.70675</v>
      </c>
      <c r="T143" s="36">
        <f t="shared" si="24"/>
        <v>14.96425</v>
      </c>
      <c r="U143" s="36">
        <f t="shared" si="24"/>
        <v>18.656749999999999</v>
      </c>
      <c r="V143" s="36">
        <f t="shared" si="24"/>
        <v>22.96275</v>
      </c>
      <c r="W143" s="36">
        <f t="shared" si="24"/>
        <v>27.971249999999998</v>
      </c>
      <c r="X143" s="36">
        <f t="shared" si="24"/>
        <v>33.822000000000003</v>
      </c>
      <c r="Y143" s="36">
        <f t="shared" si="24"/>
        <v>38.872500000000002</v>
      </c>
      <c r="Z143" s="36">
        <f t="shared" si="24"/>
        <v>45.542124999999999</v>
      </c>
    </row>
    <row r="144" spans="1:26" x14ac:dyDescent="0.55000000000000004">
      <c r="A144" s="83"/>
      <c r="B144" s="83"/>
      <c r="C144" s="15">
        <v>16.5</v>
      </c>
      <c r="D144" s="36">
        <f t="shared" si="25"/>
        <v>0.2888</v>
      </c>
      <c r="E144" s="36">
        <f t="shared" si="25"/>
        <v>0.40484999999999999</v>
      </c>
      <c r="F144" s="36">
        <f t="shared" si="25"/>
        <v>0.50134999999999996</v>
      </c>
      <c r="G144" s="36">
        <f t="shared" si="25"/>
        <v>0.65249999999999997</v>
      </c>
      <c r="H144" s="36">
        <f t="shared" si="25"/>
        <v>0.97789999999999999</v>
      </c>
      <c r="I144" s="36">
        <f t="shared" si="25"/>
        <v>1.3689000000000002</v>
      </c>
      <c r="J144" s="36">
        <f t="shared" si="25"/>
        <v>1.8281000000000001</v>
      </c>
      <c r="K144" s="36">
        <f t="shared" si="25"/>
        <v>2.3959000000000001</v>
      </c>
      <c r="L144" s="36">
        <f t="shared" si="25"/>
        <v>3.0437999999999996</v>
      </c>
      <c r="M144" s="36">
        <f t="shared" si="25"/>
        <v>3.7788500000000003</v>
      </c>
      <c r="N144" s="36">
        <f t="shared" si="25"/>
        <v>4.6269500000000008</v>
      </c>
      <c r="O144" s="36">
        <f t="shared" si="25"/>
        <v>5.5392499999999991</v>
      </c>
      <c r="P144" s="36">
        <f t="shared" si="25"/>
        <v>6.6159000000000008</v>
      </c>
      <c r="Q144" s="36">
        <f t="shared" si="25"/>
        <v>7.6812000000000005</v>
      </c>
      <c r="R144" s="36">
        <f t="shared" si="25"/>
        <v>8.9794</v>
      </c>
      <c r="S144" s="36">
        <f t="shared" si="25"/>
        <v>11.828299999999999</v>
      </c>
      <c r="T144" s="36">
        <f t="shared" si="24"/>
        <v>15.1157</v>
      </c>
      <c r="U144" s="36">
        <f t="shared" si="24"/>
        <v>18.840700000000002</v>
      </c>
      <c r="V144" s="36">
        <f t="shared" si="24"/>
        <v>23.1831</v>
      </c>
      <c r="W144" s="36">
        <f t="shared" si="24"/>
        <v>28.234499999999997</v>
      </c>
      <c r="X144" s="36">
        <f t="shared" si="24"/>
        <v>34.128800000000005</v>
      </c>
      <c r="Y144" s="36">
        <f t="shared" si="24"/>
        <v>39.216999999999999</v>
      </c>
      <c r="Z144" s="36">
        <f t="shared" si="24"/>
        <v>45.937849999999997</v>
      </c>
    </row>
    <row r="145" spans="1:26" x14ac:dyDescent="0.55000000000000004">
      <c r="A145" s="83"/>
      <c r="B145" s="83"/>
      <c r="C145" s="15">
        <v>16.75</v>
      </c>
      <c r="D145" s="36">
        <f t="shared" si="25"/>
        <v>0.29259999999999997</v>
      </c>
      <c r="E145" s="36">
        <f t="shared" si="25"/>
        <v>0.41007499999999997</v>
      </c>
      <c r="F145" s="36">
        <f t="shared" si="25"/>
        <v>0.50782499999999997</v>
      </c>
      <c r="G145" s="36">
        <f t="shared" si="25"/>
        <v>0.66075000000000006</v>
      </c>
      <c r="H145" s="36">
        <f t="shared" si="25"/>
        <v>0.99004999999999999</v>
      </c>
      <c r="I145" s="36">
        <f t="shared" si="25"/>
        <v>1.3855500000000001</v>
      </c>
      <c r="J145" s="36">
        <f t="shared" si="25"/>
        <v>1.8499500000000002</v>
      </c>
      <c r="K145" s="36">
        <f t="shared" si="25"/>
        <v>2.4240499999999998</v>
      </c>
      <c r="L145" s="36">
        <f t="shared" si="25"/>
        <v>3.0790999999999999</v>
      </c>
      <c r="M145" s="36">
        <f t="shared" si="25"/>
        <v>3.8220749999999999</v>
      </c>
      <c r="N145" s="36">
        <f t="shared" si="25"/>
        <v>4.6790250000000002</v>
      </c>
      <c r="O145" s="36">
        <f t="shared" si="25"/>
        <v>5.6008750000000003</v>
      </c>
      <c r="P145" s="36">
        <f t="shared" si="25"/>
        <v>6.6880500000000005</v>
      </c>
      <c r="Q145" s="36">
        <f t="shared" si="25"/>
        <v>7.7644000000000002</v>
      </c>
      <c r="R145" s="36">
        <f t="shared" si="25"/>
        <v>9.0743000000000009</v>
      </c>
      <c r="S145" s="36">
        <f t="shared" ref="S145:Z158" si="26">IF($C145&gt;=(4*S$82),((($C145*S$84)+(2*S$85))*1),"-")</f>
        <v>11.949850000000001</v>
      </c>
      <c r="T145" s="36">
        <f t="shared" si="26"/>
        <v>15.267150000000001</v>
      </c>
      <c r="U145" s="36">
        <f t="shared" si="26"/>
        <v>19.024650000000001</v>
      </c>
      <c r="V145" s="36">
        <f t="shared" si="26"/>
        <v>23.403449999999999</v>
      </c>
      <c r="W145" s="36">
        <f t="shared" si="26"/>
        <v>28.49775</v>
      </c>
      <c r="X145" s="36">
        <f t="shared" si="26"/>
        <v>34.435600000000001</v>
      </c>
      <c r="Y145" s="36">
        <f t="shared" si="26"/>
        <v>39.561499999999995</v>
      </c>
      <c r="Z145" s="36">
        <f t="shared" si="26"/>
        <v>46.333574999999996</v>
      </c>
    </row>
    <row r="146" spans="1:26" x14ac:dyDescent="0.55000000000000004">
      <c r="A146" s="83"/>
      <c r="B146" s="83"/>
      <c r="C146" s="15">
        <v>17</v>
      </c>
      <c r="D146" s="36">
        <f t="shared" ref="D146:S158" si="27">IF($C146&gt;=(4*D$82),((($C146*D$84)+(2*D$85))*1),"-")</f>
        <v>0.2964</v>
      </c>
      <c r="E146" s="36">
        <f t="shared" si="27"/>
        <v>0.41529999999999995</v>
      </c>
      <c r="F146" s="36">
        <f t="shared" si="27"/>
        <v>0.51429999999999998</v>
      </c>
      <c r="G146" s="36">
        <f t="shared" si="27"/>
        <v>0.66900000000000004</v>
      </c>
      <c r="H146" s="36">
        <f t="shared" si="27"/>
        <v>1.0022</v>
      </c>
      <c r="I146" s="36">
        <f t="shared" si="27"/>
        <v>1.4022000000000001</v>
      </c>
      <c r="J146" s="36">
        <f t="shared" si="27"/>
        <v>1.8717999999999999</v>
      </c>
      <c r="K146" s="36">
        <f t="shared" si="27"/>
        <v>2.4521999999999999</v>
      </c>
      <c r="L146" s="36">
        <f t="shared" si="27"/>
        <v>3.1143999999999998</v>
      </c>
      <c r="M146" s="36">
        <f t="shared" si="27"/>
        <v>3.8652999999999995</v>
      </c>
      <c r="N146" s="36">
        <f t="shared" si="27"/>
        <v>4.7310999999999996</v>
      </c>
      <c r="O146" s="36">
        <f t="shared" si="27"/>
        <v>5.6624999999999996</v>
      </c>
      <c r="P146" s="36">
        <f t="shared" si="27"/>
        <v>6.7602000000000002</v>
      </c>
      <c r="Q146" s="36">
        <f t="shared" si="27"/>
        <v>7.8475999999999999</v>
      </c>
      <c r="R146" s="36">
        <f t="shared" si="27"/>
        <v>9.1692</v>
      </c>
      <c r="S146" s="36">
        <f t="shared" si="27"/>
        <v>12.071400000000001</v>
      </c>
      <c r="T146" s="36">
        <f t="shared" si="26"/>
        <v>15.418600000000001</v>
      </c>
      <c r="U146" s="36">
        <f t="shared" si="26"/>
        <v>19.208600000000001</v>
      </c>
      <c r="V146" s="36">
        <f t="shared" si="26"/>
        <v>23.623799999999999</v>
      </c>
      <c r="W146" s="36">
        <f t="shared" si="26"/>
        <v>28.760999999999999</v>
      </c>
      <c r="X146" s="36">
        <f t="shared" si="26"/>
        <v>34.742400000000004</v>
      </c>
      <c r="Y146" s="36">
        <f t="shared" si="26"/>
        <v>39.905999999999999</v>
      </c>
      <c r="Z146" s="36">
        <f t="shared" si="26"/>
        <v>46.729299999999995</v>
      </c>
    </row>
    <row r="147" spans="1:26" x14ac:dyDescent="0.55000000000000004">
      <c r="A147" s="83"/>
      <c r="B147" s="83"/>
      <c r="C147" s="15">
        <v>17.25</v>
      </c>
      <c r="D147" s="36">
        <f t="shared" si="27"/>
        <v>0.30019999999999997</v>
      </c>
      <c r="E147" s="36">
        <f t="shared" si="27"/>
        <v>0.42052499999999998</v>
      </c>
      <c r="F147" s="36">
        <f t="shared" si="27"/>
        <v>0.52077499999999999</v>
      </c>
      <c r="G147" s="36">
        <f t="shared" si="27"/>
        <v>0.67725000000000002</v>
      </c>
      <c r="H147" s="36">
        <f t="shared" si="27"/>
        <v>1.0143499999999999</v>
      </c>
      <c r="I147" s="36">
        <f t="shared" si="27"/>
        <v>1.4188500000000002</v>
      </c>
      <c r="J147" s="36">
        <f t="shared" si="27"/>
        <v>1.8936500000000001</v>
      </c>
      <c r="K147" s="36">
        <f t="shared" si="27"/>
        <v>2.4803500000000001</v>
      </c>
      <c r="L147" s="36">
        <f t="shared" si="27"/>
        <v>3.1496999999999997</v>
      </c>
      <c r="M147" s="36">
        <f t="shared" si="27"/>
        <v>3.908525</v>
      </c>
      <c r="N147" s="36">
        <f t="shared" si="27"/>
        <v>4.783175</v>
      </c>
      <c r="O147" s="36">
        <f t="shared" si="27"/>
        <v>5.7241250000000008</v>
      </c>
      <c r="P147" s="36">
        <f t="shared" si="27"/>
        <v>6.8323500000000008</v>
      </c>
      <c r="Q147" s="36">
        <f t="shared" si="27"/>
        <v>7.9307999999999996</v>
      </c>
      <c r="R147" s="36">
        <f t="shared" si="27"/>
        <v>9.2640999999999991</v>
      </c>
      <c r="S147" s="36">
        <f t="shared" si="27"/>
        <v>12.19295</v>
      </c>
      <c r="T147" s="36">
        <f t="shared" si="26"/>
        <v>15.570050000000002</v>
      </c>
      <c r="U147" s="36">
        <f t="shared" si="26"/>
        <v>19.39255</v>
      </c>
      <c r="V147" s="36">
        <f t="shared" si="26"/>
        <v>23.844149999999999</v>
      </c>
      <c r="W147" s="36">
        <f t="shared" si="26"/>
        <v>29.024249999999999</v>
      </c>
      <c r="X147" s="36">
        <f t="shared" si="26"/>
        <v>35.049199999999999</v>
      </c>
      <c r="Y147" s="36">
        <f t="shared" si="26"/>
        <v>40.250500000000002</v>
      </c>
      <c r="Z147" s="36">
        <f t="shared" si="26"/>
        <v>47.125025000000001</v>
      </c>
    </row>
    <row r="148" spans="1:26" x14ac:dyDescent="0.55000000000000004">
      <c r="A148" s="83"/>
      <c r="B148" s="83"/>
      <c r="C148" s="15">
        <v>17.5</v>
      </c>
      <c r="D148" s="36">
        <f t="shared" si="27"/>
        <v>0.30399999999999999</v>
      </c>
      <c r="E148" s="36">
        <f t="shared" si="27"/>
        <v>0.42574999999999996</v>
      </c>
      <c r="F148" s="36">
        <f t="shared" si="27"/>
        <v>0.52725</v>
      </c>
      <c r="G148" s="36">
        <f t="shared" si="27"/>
        <v>0.6855</v>
      </c>
      <c r="H148" s="36">
        <f t="shared" si="27"/>
        <v>1.0265</v>
      </c>
      <c r="I148" s="36">
        <f t="shared" si="27"/>
        <v>1.4355000000000002</v>
      </c>
      <c r="J148" s="36">
        <f t="shared" si="27"/>
        <v>1.9155000000000002</v>
      </c>
      <c r="K148" s="36">
        <f t="shared" si="27"/>
        <v>2.5085000000000002</v>
      </c>
      <c r="L148" s="36">
        <f t="shared" si="27"/>
        <v>3.1850000000000001</v>
      </c>
      <c r="M148" s="36">
        <f t="shared" si="27"/>
        <v>3.9517499999999997</v>
      </c>
      <c r="N148" s="36">
        <f t="shared" si="27"/>
        <v>4.8352500000000003</v>
      </c>
      <c r="O148" s="36">
        <f t="shared" si="27"/>
        <v>5.7857500000000002</v>
      </c>
      <c r="P148" s="36">
        <f t="shared" si="27"/>
        <v>6.9045000000000005</v>
      </c>
      <c r="Q148" s="36">
        <f t="shared" si="27"/>
        <v>8.0139999999999993</v>
      </c>
      <c r="R148" s="36">
        <f t="shared" si="27"/>
        <v>9.359</v>
      </c>
      <c r="S148" s="36">
        <f t="shared" si="27"/>
        <v>12.314499999999999</v>
      </c>
      <c r="T148" s="36">
        <f t="shared" si="26"/>
        <v>15.721499999999999</v>
      </c>
      <c r="U148" s="36">
        <f t="shared" si="26"/>
        <v>19.576499999999999</v>
      </c>
      <c r="V148" s="36">
        <f t="shared" si="26"/>
        <v>24.064500000000002</v>
      </c>
      <c r="W148" s="36">
        <f t="shared" si="26"/>
        <v>29.287499999999998</v>
      </c>
      <c r="X148" s="36">
        <f t="shared" si="26"/>
        <v>35.356000000000002</v>
      </c>
      <c r="Y148" s="36">
        <f t="shared" si="26"/>
        <v>40.594999999999999</v>
      </c>
      <c r="Z148" s="36">
        <f t="shared" si="26"/>
        <v>47.52075</v>
      </c>
    </row>
    <row r="149" spans="1:26" x14ac:dyDescent="0.55000000000000004">
      <c r="A149" s="83"/>
      <c r="B149" s="83"/>
      <c r="C149" s="15">
        <v>17.75</v>
      </c>
      <c r="D149" s="36">
        <f t="shared" si="27"/>
        <v>0.30779999999999996</v>
      </c>
      <c r="E149" s="36">
        <f t="shared" si="27"/>
        <v>0.430975</v>
      </c>
      <c r="F149" s="36">
        <f t="shared" si="27"/>
        <v>0.533725</v>
      </c>
      <c r="G149" s="36">
        <f t="shared" si="27"/>
        <v>0.69374999999999998</v>
      </c>
      <c r="H149" s="36">
        <f t="shared" si="27"/>
        <v>1.0386499999999999</v>
      </c>
      <c r="I149" s="36">
        <f t="shared" si="27"/>
        <v>1.4521500000000001</v>
      </c>
      <c r="J149" s="36">
        <f t="shared" si="27"/>
        <v>1.9373499999999999</v>
      </c>
      <c r="K149" s="36">
        <f t="shared" si="27"/>
        <v>2.5366499999999998</v>
      </c>
      <c r="L149" s="36">
        <f t="shared" si="27"/>
        <v>3.2202999999999999</v>
      </c>
      <c r="M149" s="36">
        <f t="shared" si="27"/>
        <v>3.9949750000000002</v>
      </c>
      <c r="N149" s="36">
        <f t="shared" si="27"/>
        <v>4.8873250000000006</v>
      </c>
      <c r="O149" s="36">
        <f t="shared" si="27"/>
        <v>5.8473749999999995</v>
      </c>
      <c r="P149" s="36">
        <f t="shared" si="27"/>
        <v>6.9766500000000002</v>
      </c>
      <c r="Q149" s="36">
        <f t="shared" si="27"/>
        <v>8.0971999999999991</v>
      </c>
      <c r="R149" s="36">
        <f t="shared" si="27"/>
        <v>9.4539000000000009</v>
      </c>
      <c r="S149" s="36">
        <f t="shared" si="27"/>
        <v>12.436050000000002</v>
      </c>
      <c r="T149" s="36">
        <f t="shared" si="26"/>
        <v>15.872949999999999</v>
      </c>
      <c r="U149" s="36">
        <f t="shared" si="26"/>
        <v>19.760449999999999</v>
      </c>
      <c r="V149" s="36">
        <f t="shared" si="26"/>
        <v>24.284849999999999</v>
      </c>
      <c r="W149" s="36">
        <f t="shared" si="26"/>
        <v>29.550749999999997</v>
      </c>
      <c r="X149" s="36">
        <f t="shared" si="26"/>
        <v>35.662800000000004</v>
      </c>
      <c r="Y149" s="36">
        <f t="shared" si="26"/>
        <v>40.939499999999995</v>
      </c>
      <c r="Z149" s="36">
        <f t="shared" si="26"/>
        <v>47.916474999999998</v>
      </c>
    </row>
    <row r="150" spans="1:26" x14ac:dyDescent="0.55000000000000004">
      <c r="A150" s="83"/>
      <c r="B150" s="83"/>
      <c r="C150" s="15">
        <v>18</v>
      </c>
      <c r="D150" s="36">
        <f t="shared" si="27"/>
        <v>0.31159999999999999</v>
      </c>
      <c r="E150" s="36">
        <f t="shared" si="27"/>
        <v>0.43619999999999998</v>
      </c>
      <c r="F150" s="36">
        <f t="shared" si="27"/>
        <v>0.54020000000000001</v>
      </c>
      <c r="G150" s="36">
        <f t="shared" si="27"/>
        <v>0.70200000000000007</v>
      </c>
      <c r="H150" s="36">
        <f t="shared" si="27"/>
        <v>1.0508</v>
      </c>
      <c r="I150" s="36">
        <f t="shared" si="27"/>
        <v>1.4688000000000001</v>
      </c>
      <c r="J150" s="36">
        <f t="shared" si="27"/>
        <v>1.9592000000000001</v>
      </c>
      <c r="K150" s="36">
        <f t="shared" si="27"/>
        <v>2.5648</v>
      </c>
      <c r="L150" s="36">
        <f t="shared" si="27"/>
        <v>3.2555999999999998</v>
      </c>
      <c r="M150" s="36">
        <f t="shared" si="27"/>
        <v>4.0381999999999998</v>
      </c>
      <c r="N150" s="36">
        <f t="shared" si="27"/>
        <v>4.9394</v>
      </c>
      <c r="O150" s="36">
        <f t="shared" si="27"/>
        <v>5.9090000000000007</v>
      </c>
      <c r="P150" s="36">
        <f t="shared" si="27"/>
        <v>7.0488000000000008</v>
      </c>
      <c r="Q150" s="36">
        <f t="shared" si="27"/>
        <v>8.1803999999999988</v>
      </c>
      <c r="R150" s="36">
        <f t="shared" si="27"/>
        <v>9.5488</v>
      </c>
      <c r="S150" s="36">
        <f t="shared" si="27"/>
        <v>12.557600000000001</v>
      </c>
      <c r="T150" s="36">
        <f t="shared" si="26"/>
        <v>16.0244</v>
      </c>
      <c r="U150" s="36">
        <f t="shared" si="26"/>
        <v>19.944400000000002</v>
      </c>
      <c r="V150" s="36">
        <f t="shared" si="26"/>
        <v>24.505200000000002</v>
      </c>
      <c r="W150" s="36">
        <f t="shared" si="26"/>
        <v>29.814</v>
      </c>
      <c r="X150" s="36">
        <f t="shared" si="26"/>
        <v>35.9696</v>
      </c>
      <c r="Y150" s="36">
        <f t="shared" si="26"/>
        <v>41.283999999999999</v>
      </c>
      <c r="Z150" s="36">
        <f t="shared" si="26"/>
        <v>48.312200000000004</v>
      </c>
    </row>
    <row r="151" spans="1:26" x14ac:dyDescent="0.55000000000000004">
      <c r="A151" s="83"/>
      <c r="B151" s="83"/>
      <c r="C151" s="15">
        <v>18.25</v>
      </c>
      <c r="D151" s="36">
        <f t="shared" si="27"/>
        <v>0.31539999999999996</v>
      </c>
      <c r="E151" s="36">
        <f t="shared" si="27"/>
        <v>0.44142499999999996</v>
      </c>
      <c r="F151" s="36">
        <f t="shared" si="27"/>
        <v>0.54667500000000002</v>
      </c>
      <c r="G151" s="36">
        <f t="shared" si="27"/>
        <v>0.71025000000000005</v>
      </c>
      <c r="H151" s="36">
        <f t="shared" si="27"/>
        <v>1.0629499999999998</v>
      </c>
      <c r="I151" s="36">
        <f t="shared" si="27"/>
        <v>1.4854500000000002</v>
      </c>
      <c r="J151" s="36">
        <f t="shared" si="27"/>
        <v>1.9810500000000002</v>
      </c>
      <c r="K151" s="36">
        <f t="shared" si="27"/>
        <v>2.5929500000000001</v>
      </c>
      <c r="L151" s="36">
        <f t="shared" si="27"/>
        <v>3.2908999999999997</v>
      </c>
      <c r="M151" s="36">
        <f t="shared" si="27"/>
        <v>4.0814250000000003</v>
      </c>
      <c r="N151" s="36">
        <f t="shared" si="27"/>
        <v>4.9914750000000003</v>
      </c>
      <c r="O151" s="36">
        <f t="shared" si="27"/>
        <v>5.9706250000000001</v>
      </c>
      <c r="P151" s="36">
        <f t="shared" si="27"/>
        <v>7.1209500000000006</v>
      </c>
      <c r="Q151" s="36">
        <f t="shared" si="27"/>
        <v>8.2636000000000003</v>
      </c>
      <c r="R151" s="36">
        <f t="shared" si="27"/>
        <v>9.6436999999999991</v>
      </c>
      <c r="S151" s="36">
        <f t="shared" si="27"/>
        <v>12.67915</v>
      </c>
      <c r="T151" s="36">
        <f t="shared" si="26"/>
        <v>16.175850000000001</v>
      </c>
      <c r="U151" s="36">
        <f t="shared" si="26"/>
        <v>20.128350000000001</v>
      </c>
      <c r="V151" s="36">
        <f t="shared" si="26"/>
        <v>24.725549999999998</v>
      </c>
      <c r="W151" s="36">
        <f t="shared" si="26"/>
        <v>30.077249999999999</v>
      </c>
      <c r="X151" s="36">
        <f t="shared" si="26"/>
        <v>36.276400000000002</v>
      </c>
      <c r="Y151" s="36">
        <f t="shared" si="26"/>
        <v>41.628500000000003</v>
      </c>
      <c r="Z151" s="36">
        <f t="shared" si="26"/>
        <v>48.707925000000003</v>
      </c>
    </row>
    <row r="152" spans="1:26" x14ac:dyDescent="0.55000000000000004">
      <c r="A152" s="83"/>
      <c r="B152" s="83"/>
      <c r="C152" s="15">
        <v>18.5</v>
      </c>
      <c r="D152" s="36">
        <f t="shared" si="27"/>
        <v>0.31919999999999998</v>
      </c>
      <c r="E152" s="36">
        <f t="shared" si="27"/>
        <v>0.44664999999999999</v>
      </c>
      <c r="F152" s="36">
        <f t="shared" si="27"/>
        <v>0.55315000000000003</v>
      </c>
      <c r="G152" s="36">
        <f t="shared" si="27"/>
        <v>0.71850000000000003</v>
      </c>
      <c r="H152" s="36">
        <f t="shared" si="27"/>
        <v>1.0750999999999999</v>
      </c>
      <c r="I152" s="36">
        <f t="shared" si="27"/>
        <v>1.5021000000000002</v>
      </c>
      <c r="J152" s="36">
        <f t="shared" si="27"/>
        <v>2.0028999999999999</v>
      </c>
      <c r="K152" s="36">
        <f t="shared" si="27"/>
        <v>2.6210999999999998</v>
      </c>
      <c r="L152" s="36">
        <f t="shared" si="27"/>
        <v>3.3261999999999996</v>
      </c>
      <c r="M152" s="36">
        <f t="shared" si="27"/>
        <v>4.1246499999999999</v>
      </c>
      <c r="N152" s="36">
        <f t="shared" si="27"/>
        <v>5.0435499999999998</v>
      </c>
      <c r="O152" s="36">
        <f t="shared" si="27"/>
        <v>6.0322499999999994</v>
      </c>
      <c r="P152" s="36">
        <f t="shared" si="27"/>
        <v>7.1931000000000003</v>
      </c>
      <c r="Q152" s="36">
        <f t="shared" si="27"/>
        <v>8.3468</v>
      </c>
      <c r="R152" s="36">
        <f t="shared" si="27"/>
        <v>9.7385999999999999</v>
      </c>
      <c r="S152" s="36">
        <f t="shared" si="27"/>
        <v>12.800699999999999</v>
      </c>
      <c r="T152" s="36">
        <f t="shared" si="26"/>
        <v>16.327300000000001</v>
      </c>
      <c r="U152" s="36">
        <f t="shared" si="26"/>
        <v>20.3123</v>
      </c>
      <c r="V152" s="36">
        <f t="shared" si="26"/>
        <v>24.945899999999998</v>
      </c>
      <c r="W152" s="36">
        <f t="shared" si="26"/>
        <v>30.340499999999999</v>
      </c>
      <c r="X152" s="36">
        <f t="shared" si="26"/>
        <v>36.583200000000005</v>
      </c>
      <c r="Y152" s="36">
        <f t="shared" si="26"/>
        <v>41.972999999999999</v>
      </c>
      <c r="Z152" s="36">
        <f t="shared" si="26"/>
        <v>49.103650000000002</v>
      </c>
    </row>
    <row r="153" spans="1:26" x14ac:dyDescent="0.55000000000000004">
      <c r="A153" s="83"/>
      <c r="B153" s="83"/>
      <c r="C153" s="15">
        <v>18.75</v>
      </c>
      <c r="D153" s="36">
        <f t="shared" si="27"/>
        <v>0.32299999999999995</v>
      </c>
      <c r="E153" s="36">
        <f t="shared" si="27"/>
        <v>0.45187499999999997</v>
      </c>
      <c r="F153" s="36">
        <f t="shared" si="27"/>
        <v>0.55962500000000004</v>
      </c>
      <c r="G153" s="36">
        <f t="shared" si="27"/>
        <v>0.72675000000000001</v>
      </c>
      <c r="H153" s="36">
        <f t="shared" si="27"/>
        <v>1.08725</v>
      </c>
      <c r="I153" s="36">
        <f t="shared" si="27"/>
        <v>1.51875</v>
      </c>
      <c r="J153" s="36">
        <f t="shared" si="27"/>
        <v>2.02475</v>
      </c>
      <c r="K153" s="36">
        <f t="shared" si="27"/>
        <v>2.6492499999999999</v>
      </c>
      <c r="L153" s="36">
        <f t="shared" si="27"/>
        <v>3.3614999999999999</v>
      </c>
      <c r="M153" s="36">
        <f t="shared" si="27"/>
        <v>4.1678749999999996</v>
      </c>
      <c r="N153" s="36">
        <f t="shared" si="27"/>
        <v>5.0956250000000001</v>
      </c>
      <c r="O153" s="36">
        <f t="shared" si="27"/>
        <v>6.0938750000000006</v>
      </c>
      <c r="P153" s="36">
        <f t="shared" si="27"/>
        <v>7.2652500000000009</v>
      </c>
      <c r="Q153" s="36">
        <f t="shared" si="27"/>
        <v>8.43</v>
      </c>
      <c r="R153" s="36">
        <f t="shared" si="27"/>
        <v>9.8335000000000008</v>
      </c>
      <c r="S153" s="36">
        <f t="shared" si="27"/>
        <v>12.922250000000002</v>
      </c>
      <c r="T153" s="36">
        <f t="shared" si="26"/>
        <v>16.478750000000002</v>
      </c>
      <c r="U153" s="36">
        <f t="shared" si="26"/>
        <v>20.49625</v>
      </c>
      <c r="V153" s="36">
        <f t="shared" si="26"/>
        <v>25.166250000000002</v>
      </c>
      <c r="W153" s="36">
        <f t="shared" si="26"/>
        <v>30.603749999999998</v>
      </c>
      <c r="X153" s="36">
        <f t="shared" si="26"/>
        <v>36.89</v>
      </c>
      <c r="Y153" s="36">
        <f t="shared" si="26"/>
        <v>42.317499999999995</v>
      </c>
      <c r="Z153" s="36">
        <f t="shared" si="26"/>
        <v>49.499375000000001</v>
      </c>
    </row>
    <row r="154" spans="1:26" x14ac:dyDescent="0.55000000000000004">
      <c r="A154" s="83"/>
      <c r="B154" s="83"/>
      <c r="C154" s="15">
        <v>19</v>
      </c>
      <c r="D154" s="36">
        <f t="shared" si="27"/>
        <v>0.32679999999999998</v>
      </c>
      <c r="E154" s="36">
        <f t="shared" si="27"/>
        <v>0.45709999999999995</v>
      </c>
      <c r="F154" s="36">
        <f t="shared" si="27"/>
        <v>0.56610000000000005</v>
      </c>
      <c r="G154" s="36">
        <f t="shared" si="27"/>
        <v>0.73499999999999999</v>
      </c>
      <c r="H154" s="36">
        <f t="shared" si="27"/>
        <v>1.0993999999999999</v>
      </c>
      <c r="I154" s="36">
        <f t="shared" si="27"/>
        <v>1.5354000000000001</v>
      </c>
      <c r="J154" s="36">
        <f t="shared" si="27"/>
        <v>2.0466000000000002</v>
      </c>
      <c r="K154" s="36">
        <f t="shared" si="27"/>
        <v>2.6774</v>
      </c>
      <c r="L154" s="36">
        <f t="shared" si="27"/>
        <v>3.3967999999999998</v>
      </c>
      <c r="M154" s="36">
        <f t="shared" si="27"/>
        <v>4.2111000000000001</v>
      </c>
      <c r="N154" s="36">
        <f t="shared" si="27"/>
        <v>5.1477000000000004</v>
      </c>
      <c r="O154" s="36">
        <f t="shared" si="27"/>
        <v>6.1555</v>
      </c>
      <c r="P154" s="36">
        <f t="shared" si="27"/>
        <v>7.3374000000000006</v>
      </c>
      <c r="Q154" s="36">
        <f t="shared" si="27"/>
        <v>8.5131999999999994</v>
      </c>
      <c r="R154" s="36">
        <f t="shared" si="27"/>
        <v>9.9283999999999999</v>
      </c>
      <c r="S154" s="36">
        <f t="shared" si="27"/>
        <v>13.043800000000001</v>
      </c>
      <c r="T154" s="36">
        <f t="shared" si="26"/>
        <v>16.630199999999999</v>
      </c>
      <c r="U154" s="36">
        <f t="shared" si="26"/>
        <v>20.680199999999999</v>
      </c>
      <c r="V154" s="36">
        <f t="shared" si="26"/>
        <v>25.386600000000001</v>
      </c>
      <c r="W154" s="36">
        <f t="shared" si="26"/>
        <v>30.866999999999997</v>
      </c>
      <c r="X154" s="36">
        <f t="shared" si="26"/>
        <v>37.196800000000003</v>
      </c>
      <c r="Y154" s="36">
        <f t="shared" si="26"/>
        <v>42.661999999999999</v>
      </c>
      <c r="Z154" s="36">
        <f t="shared" si="26"/>
        <v>49.895099999999999</v>
      </c>
    </row>
    <row r="155" spans="1:26" x14ac:dyDescent="0.55000000000000004">
      <c r="A155" s="83"/>
      <c r="B155" s="83"/>
      <c r="C155" s="15">
        <v>19.25</v>
      </c>
      <c r="D155" s="36">
        <f t="shared" si="27"/>
        <v>0.3306</v>
      </c>
      <c r="E155" s="36">
        <f t="shared" si="27"/>
        <v>0.46232499999999999</v>
      </c>
      <c r="F155" s="36">
        <f t="shared" si="27"/>
        <v>0.57257500000000006</v>
      </c>
      <c r="G155" s="36">
        <f t="shared" si="27"/>
        <v>0.74324999999999997</v>
      </c>
      <c r="H155" s="36">
        <f t="shared" si="27"/>
        <v>1.11155</v>
      </c>
      <c r="I155" s="36">
        <f t="shared" si="27"/>
        <v>1.5520500000000002</v>
      </c>
      <c r="J155" s="36">
        <f t="shared" si="27"/>
        <v>2.0684499999999999</v>
      </c>
      <c r="K155" s="36">
        <f t="shared" si="27"/>
        <v>2.7055500000000001</v>
      </c>
      <c r="L155" s="36">
        <f t="shared" si="27"/>
        <v>3.4320999999999997</v>
      </c>
      <c r="M155" s="36">
        <f t="shared" si="27"/>
        <v>4.2543249999999997</v>
      </c>
      <c r="N155" s="36">
        <f t="shared" si="27"/>
        <v>5.1997750000000007</v>
      </c>
      <c r="O155" s="36">
        <f t="shared" si="27"/>
        <v>6.2171249999999993</v>
      </c>
      <c r="P155" s="36">
        <f t="shared" si="27"/>
        <v>7.4095500000000003</v>
      </c>
      <c r="Q155" s="36">
        <f t="shared" si="27"/>
        <v>8.5963999999999992</v>
      </c>
      <c r="R155" s="36">
        <f t="shared" si="27"/>
        <v>10.023299999999999</v>
      </c>
      <c r="S155" s="36">
        <f t="shared" si="27"/>
        <v>13.16535</v>
      </c>
      <c r="T155" s="36">
        <f t="shared" si="26"/>
        <v>16.781649999999999</v>
      </c>
      <c r="U155" s="36">
        <f t="shared" si="26"/>
        <v>20.864149999999999</v>
      </c>
      <c r="V155" s="36">
        <f t="shared" si="26"/>
        <v>25.606950000000001</v>
      </c>
      <c r="W155" s="36">
        <f t="shared" si="26"/>
        <v>31.130249999999997</v>
      </c>
      <c r="X155" s="36">
        <f t="shared" si="26"/>
        <v>37.503599999999999</v>
      </c>
      <c r="Y155" s="36">
        <f t="shared" si="26"/>
        <v>43.006500000000003</v>
      </c>
      <c r="Z155" s="36">
        <f t="shared" si="26"/>
        <v>50.290824999999998</v>
      </c>
    </row>
    <row r="156" spans="1:26" x14ac:dyDescent="0.55000000000000004">
      <c r="A156" s="83"/>
      <c r="B156" s="83"/>
      <c r="C156" s="15">
        <v>19.5</v>
      </c>
      <c r="D156" s="36">
        <f t="shared" si="27"/>
        <v>0.33439999999999998</v>
      </c>
      <c r="E156" s="36">
        <f t="shared" si="27"/>
        <v>0.46754999999999997</v>
      </c>
      <c r="F156" s="36">
        <f t="shared" si="27"/>
        <v>0.57905000000000006</v>
      </c>
      <c r="G156" s="36">
        <f t="shared" si="27"/>
        <v>0.75150000000000006</v>
      </c>
      <c r="H156" s="36">
        <f t="shared" si="27"/>
        <v>1.1236999999999999</v>
      </c>
      <c r="I156" s="36">
        <f t="shared" si="27"/>
        <v>1.5687000000000002</v>
      </c>
      <c r="J156" s="36">
        <f t="shared" si="27"/>
        <v>2.0903</v>
      </c>
      <c r="K156" s="36">
        <f t="shared" si="27"/>
        <v>2.7336999999999998</v>
      </c>
      <c r="L156" s="36">
        <f t="shared" si="27"/>
        <v>3.4674</v>
      </c>
      <c r="M156" s="36">
        <f t="shared" si="27"/>
        <v>4.2975500000000002</v>
      </c>
      <c r="N156" s="36">
        <f t="shared" si="27"/>
        <v>5.251850000000001</v>
      </c>
      <c r="O156" s="36">
        <f t="shared" si="27"/>
        <v>6.2787500000000005</v>
      </c>
      <c r="P156" s="36">
        <f t="shared" si="27"/>
        <v>7.4817000000000009</v>
      </c>
      <c r="Q156" s="36">
        <f t="shared" si="27"/>
        <v>8.6795999999999989</v>
      </c>
      <c r="R156" s="36">
        <f t="shared" si="27"/>
        <v>10.1182</v>
      </c>
      <c r="S156" s="36">
        <f t="shared" si="27"/>
        <v>13.286899999999999</v>
      </c>
      <c r="T156" s="36">
        <f t="shared" si="26"/>
        <v>16.9331</v>
      </c>
      <c r="U156" s="36">
        <f t="shared" si="26"/>
        <v>21.048100000000002</v>
      </c>
      <c r="V156" s="36">
        <f t="shared" si="26"/>
        <v>25.827300000000001</v>
      </c>
      <c r="W156" s="36">
        <f t="shared" si="26"/>
        <v>31.3935</v>
      </c>
      <c r="X156" s="36">
        <f t="shared" si="26"/>
        <v>37.810400000000001</v>
      </c>
      <c r="Y156" s="36">
        <f t="shared" si="26"/>
        <v>43.350999999999999</v>
      </c>
      <c r="Z156" s="36">
        <f t="shared" si="26"/>
        <v>50.686549999999997</v>
      </c>
    </row>
    <row r="157" spans="1:26" x14ac:dyDescent="0.55000000000000004">
      <c r="A157" s="83"/>
      <c r="B157" s="83"/>
      <c r="C157" s="15">
        <v>19.75</v>
      </c>
      <c r="D157" s="36">
        <f t="shared" si="27"/>
        <v>0.3382</v>
      </c>
      <c r="E157" s="36">
        <f t="shared" si="27"/>
        <v>0.47277499999999995</v>
      </c>
      <c r="F157" s="36">
        <f t="shared" si="27"/>
        <v>0.58552500000000007</v>
      </c>
      <c r="G157" s="36">
        <f t="shared" si="27"/>
        <v>0.75975000000000004</v>
      </c>
      <c r="H157" s="36">
        <f t="shared" si="27"/>
        <v>1.13585</v>
      </c>
      <c r="I157" s="36">
        <f t="shared" si="27"/>
        <v>1.58535</v>
      </c>
      <c r="J157" s="36">
        <f t="shared" si="27"/>
        <v>2.1121500000000002</v>
      </c>
      <c r="K157" s="36">
        <f t="shared" si="27"/>
        <v>2.7618499999999999</v>
      </c>
      <c r="L157" s="36">
        <f t="shared" si="27"/>
        <v>3.5026999999999999</v>
      </c>
      <c r="M157" s="36">
        <f t="shared" si="27"/>
        <v>4.3407749999999998</v>
      </c>
      <c r="N157" s="36">
        <f t="shared" si="27"/>
        <v>5.3039249999999996</v>
      </c>
      <c r="O157" s="36">
        <f t="shared" si="27"/>
        <v>6.3403749999999999</v>
      </c>
      <c r="P157" s="36">
        <f t="shared" si="27"/>
        <v>7.5538500000000006</v>
      </c>
      <c r="Q157" s="36">
        <f t="shared" si="27"/>
        <v>8.7628000000000004</v>
      </c>
      <c r="R157" s="36">
        <f t="shared" si="27"/>
        <v>10.213100000000001</v>
      </c>
      <c r="S157" s="36">
        <f t="shared" si="27"/>
        <v>13.408450000000002</v>
      </c>
      <c r="T157" s="36">
        <f t="shared" si="26"/>
        <v>17.08455</v>
      </c>
      <c r="U157" s="36">
        <f t="shared" si="26"/>
        <v>21.232050000000001</v>
      </c>
      <c r="V157" s="36">
        <f t="shared" si="26"/>
        <v>26.047650000000001</v>
      </c>
      <c r="W157" s="36">
        <f t="shared" si="26"/>
        <v>31.656749999999999</v>
      </c>
      <c r="X157" s="36">
        <f t="shared" si="26"/>
        <v>38.117200000000004</v>
      </c>
      <c r="Y157" s="36">
        <f t="shared" si="26"/>
        <v>43.695499999999996</v>
      </c>
      <c r="Z157" s="36">
        <f t="shared" si="26"/>
        <v>51.082274999999996</v>
      </c>
    </row>
    <row r="158" spans="1:26" x14ac:dyDescent="0.55000000000000004">
      <c r="A158" s="83"/>
      <c r="B158" s="83"/>
      <c r="C158" s="15">
        <v>20</v>
      </c>
      <c r="D158" s="36">
        <f t="shared" si="27"/>
        <v>0.34199999999999997</v>
      </c>
      <c r="E158" s="36">
        <f t="shared" si="27"/>
        <v>0.47799999999999998</v>
      </c>
      <c r="F158" s="36">
        <f t="shared" si="27"/>
        <v>0.59200000000000008</v>
      </c>
      <c r="G158" s="36">
        <f t="shared" si="27"/>
        <v>0.76800000000000002</v>
      </c>
      <c r="H158" s="36">
        <f t="shared" si="27"/>
        <v>1.1479999999999999</v>
      </c>
      <c r="I158" s="36">
        <f t="shared" si="27"/>
        <v>1.6020000000000001</v>
      </c>
      <c r="J158" s="36">
        <f t="shared" si="27"/>
        <v>2.1340000000000003</v>
      </c>
      <c r="K158" s="36">
        <f t="shared" si="27"/>
        <v>2.79</v>
      </c>
      <c r="L158" s="36">
        <f t="shared" si="27"/>
        <v>3.5379999999999998</v>
      </c>
      <c r="M158" s="36">
        <f t="shared" si="27"/>
        <v>4.3840000000000003</v>
      </c>
      <c r="N158" s="36">
        <f t="shared" si="27"/>
        <v>5.3559999999999999</v>
      </c>
      <c r="O158" s="36">
        <f t="shared" si="27"/>
        <v>6.4019999999999992</v>
      </c>
      <c r="P158" s="36">
        <f t="shared" si="27"/>
        <v>7.6260000000000003</v>
      </c>
      <c r="Q158" s="36">
        <f t="shared" si="27"/>
        <v>8.8460000000000001</v>
      </c>
      <c r="R158" s="36">
        <f t="shared" si="27"/>
        <v>10.308</v>
      </c>
      <c r="S158" s="36">
        <f t="shared" si="27"/>
        <v>13.530000000000001</v>
      </c>
      <c r="T158" s="36">
        <f t="shared" si="26"/>
        <v>17.236000000000001</v>
      </c>
      <c r="U158" s="36">
        <f t="shared" si="26"/>
        <v>21.416</v>
      </c>
      <c r="V158" s="36">
        <f t="shared" si="26"/>
        <v>26.268000000000001</v>
      </c>
      <c r="W158" s="36">
        <f t="shared" si="26"/>
        <v>31.919999999999998</v>
      </c>
      <c r="X158" s="36">
        <f t="shared" si="26"/>
        <v>38.423999999999999</v>
      </c>
      <c r="Y158" s="36">
        <f t="shared" si="26"/>
        <v>44.04</v>
      </c>
      <c r="Z158" s="36">
        <f t="shared" si="26"/>
        <v>51.478000000000002</v>
      </c>
    </row>
    <row r="160" spans="1:26" x14ac:dyDescent="0.55000000000000004">
      <c r="C160" s="48" t="s">
        <v>108</v>
      </c>
      <c r="D160" s="53">
        <v>0.4375</v>
      </c>
      <c r="E160" s="49">
        <v>0.5</v>
      </c>
      <c r="F160" s="53">
        <v>0.5625</v>
      </c>
      <c r="G160" s="49">
        <v>0.63500000000000001</v>
      </c>
      <c r="H160" s="49">
        <v>0.75</v>
      </c>
      <c r="I160" s="49">
        <v>0.875</v>
      </c>
      <c r="J160" s="49">
        <v>1</v>
      </c>
      <c r="K160" s="49">
        <v>1.125</v>
      </c>
      <c r="L160" s="49">
        <v>1.25</v>
      </c>
      <c r="M160" s="49">
        <v>1.375</v>
      </c>
      <c r="N160" s="49">
        <v>1.5</v>
      </c>
      <c r="O160" s="49">
        <v>1.635</v>
      </c>
      <c r="P160" s="49">
        <v>1.75</v>
      </c>
      <c r="Q160" s="49">
        <v>1.875</v>
      </c>
      <c r="R160" s="49">
        <v>2</v>
      </c>
      <c r="S160" s="49">
        <v>2.25</v>
      </c>
      <c r="T160" s="49">
        <v>2.5</v>
      </c>
      <c r="U160" s="49">
        <v>2.75</v>
      </c>
      <c r="V160" s="49">
        <v>3</v>
      </c>
      <c r="W160" s="49">
        <v>3.25</v>
      </c>
      <c r="X160" s="49">
        <v>3.5</v>
      </c>
      <c r="Y160" s="49">
        <v>3.75</v>
      </c>
      <c r="Z160" s="49">
        <v>4</v>
      </c>
    </row>
    <row r="161" spans="1:26" x14ac:dyDescent="0.55000000000000004">
      <c r="C161" s="48" t="s">
        <v>108</v>
      </c>
      <c r="D161" s="53">
        <v>0.4375</v>
      </c>
      <c r="E161" s="49">
        <v>0.5</v>
      </c>
      <c r="F161" s="53">
        <v>0.5625</v>
      </c>
      <c r="G161" s="49">
        <v>0.63500000000000001</v>
      </c>
      <c r="H161" s="49">
        <v>0.75</v>
      </c>
      <c r="I161" s="49">
        <v>0.875</v>
      </c>
      <c r="J161" s="49">
        <v>1</v>
      </c>
      <c r="K161" s="49">
        <v>1.125</v>
      </c>
      <c r="L161" s="49">
        <v>1.25</v>
      </c>
      <c r="M161" s="49">
        <v>1.375</v>
      </c>
      <c r="N161" s="49">
        <v>1.5</v>
      </c>
      <c r="O161" s="49">
        <v>1.635</v>
      </c>
      <c r="P161" s="49">
        <v>1.75</v>
      </c>
      <c r="Q161" s="49">
        <v>1.875</v>
      </c>
      <c r="R161" s="49">
        <v>2</v>
      </c>
      <c r="S161" s="49">
        <v>2.25</v>
      </c>
      <c r="T161" s="49">
        <v>2.5</v>
      </c>
      <c r="U161" s="49">
        <v>2.75</v>
      </c>
      <c r="V161" s="49">
        <v>3</v>
      </c>
      <c r="W161" s="49">
        <v>3.25</v>
      </c>
      <c r="X161" s="49">
        <v>3.5</v>
      </c>
      <c r="Y161" s="49">
        <v>3.75</v>
      </c>
      <c r="Z161" s="49">
        <v>4</v>
      </c>
    </row>
    <row r="162" spans="1:26" x14ac:dyDescent="0.55000000000000004">
      <c r="C162" s="48" t="s">
        <v>108</v>
      </c>
      <c r="D162" s="49" t="s">
        <v>450</v>
      </c>
      <c r="E162" s="49" t="s">
        <v>451</v>
      </c>
      <c r="F162" s="49" t="s">
        <v>452</v>
      </c>
      <c r="G162" s="49" t="s">
        <v>453</v>
      </c>
      <c r="H162" s="49" t="s">
        <v>454</v>
      </c>
      <c r="I162" s="49" t="s">
        <v>455</v>
      </c>
      <c r="J162" s="49" t="s">
        <v>456</v>
      </c>
      <c r="K162" s="49" t="s">
        <v>457</v>
      </c>
      <c r="L162" s="49" t="s">
        <v>458</v>
      </c>
      <c r="M162" s="49" t="s">
        <v>459</v>
      </c>
      <c r="N162" s="49" t="s">
        <v>460</v>
      </c>
      <c r="O162" s="49" t="s">
        <v>461</v>
      </c>
      <c r="P162" s="49" t="s">
        <v>462</v>
      </c>
      <c r="Q162" s="49" t="s">
        <v>463</v>
      </c>
      <c r="R162" s="49" t="s">
        <v>464</v>
      </c>
      <c r="S162" s="49" t="s">
        <v>465</v>
      </c>
      <c r="T162" s="49" t="s">
        <v>466</v>
      </c>
      <c r="U162" s="49" t="s">
        <v>467</v>
      </c>
      <c r="V162" s="49" t="s">
        <v>468</v>
      </c>
      <c r="W162" s="49" t="s">
        <v>469</v>
      </c>
      <c r="X162" s="49" t="s">
        <v>470</v>
      </c>
      <c r="Y162" s="49" t="s">
        <v>471</v>
      </c>
      <c r="Z162" s="49" t="s">
        <v>472</v>
      </c>
    </row>
    <row r="163" spans="1:26" x14ac:dyDescent="0.55000000000000004">
      <c r="C163" s="52" t="s">
        <v>480</v>
      </c>
      <c r="D163" s="49">
        <v>1.52E-2</v>
      </c>
      <c r="E163" s="49">
        <v>2.0899999999999998E-2</v>
      </c>
      <c r="F163" s="49">
        <v>2.5899999999999999E-2</v>
      </c>
      <c r="G163" s="49">
        <v>3.3000000000000002E-2</v>
      </c>
      <c r="H163" s="49">
        <v>4.8599999999999997E-2</v>
      </c>
      <c r="I163" s="49">
        <v>6.6600000000000006E-2</v>
      </c>
      <c r="J163" s="49">
        <v>8.7400000000000005E-2</v>
      </c>
      <c r="K163" s="49">
        <v>0.11260000000000001</v>
      </c>
      <c r="L163" s="49">
        <v>0.14119999999999999</v>
      </c>
      <c r="M163" s="49">
        <v>0.1729</v>
      </c>
      <c r="N163" s="49">
        <v>0.20830000000000001</v>
      </c>
      <c r="O163" s="49">
        <v>0.2465</v>
      </c>
      <c r="P163" s="49">
        <v>0.28860000000000002</v>
      </c>
      <c r="Q163" s="49">
        <v>0.33279999999999998</v>
      </c>
      <c r="R163" s="49">
        <v>0.37959999999999999</v>
      </c>
      <c r="S163" s="49">
        <v>0.48620000000000002</v>
      </c>
      <c r="T163" s="49">
        <v>0.60580000000000001</v>
      </c>
      <c r="U163" s="49">
        <v>0.73580000000000001</v>
      </c>
      <c r="V163" s="49">
        <v>0.88139999999999996</v>
      </c>
      <c r="W163" s="49">
        <v>1.0529999999999999</v>
      </c>
      <c r="X163" s="49">
        <v>1.2272000000000001</v>
      </c>
      <c r="Y163" s="49">
        <v>1.3779999999999999</v>
      </c>
      <c r="Z163" s="49">
        <v>1.5829</v>
      </c>
    </row>
    <row r="164" spans="1:26" x14ac:dyDescent="0.55000000000000004">
      <c r="A164" s="83" t="s">
        <v>483</v>
      </c>
      <c r="B164" s="83" t="s">
        <v>369</v>
      </c>
      <c r="C164" s="15">
        <v>2</v>
      </c>
      <c r="D164" s="36">
        <f>(ROUNDDOWN((IF(((D$163*$C164)*(ROUNDDOWN($AC$2/D$160,0)*ROUNDDOWN($AC$3/D$160,0)*ROUNDDOWN($AC$4/$C164,0)))&lt;=20,((D$163*$C164)*(ROUNDDOWN($AC$2/D$160,0)*ROUNDDOWN($AC$3/D$160,0)*ROUNDDOWN($AC$4/$C164,0))),20/(D$163*$C164)))/10,0))*10</f>
        <v>650</v>
      </c>
      <c r="E164" s="36">
        <f>(ROUNDDOWN((IF(((E$163*$C164)*(ROUNDDOWN($AC$2/E$160,0)*ROUNDDOWN($AC$3/E$160,0)*ROUNDDOWN($AC$4/$C164,0)))&lt;=20,((E$163*$C164)*(ROUNDDOWN($AC$2/E$160,0)*ROUNDDOWN($AC$3/E$160,0)*ROUNDDOWN($AC$4/$C164,0))),20/(E$163*$C164)))/10,0))*10</f>
        <v>470</v>
      </c>
      <c r="F164" s="36" t="s">
        <v>382</v>
      </c>
      <c r="G164" s="36" t="str">
        <f>IF($C164&gt;=(4*G$82),((($C164*G$84)+(2*G$85))*#REF!),"-")</f>
        <v>-</v>
      </c>
      <c r="H164" s="36" t="str">
        <f>IF($C164&gt;=(4*H$82),((($C164*H$84)+(2*H$85))*#REF!),"-")</f>
        <v>-</v>
      </c>
      <c r="I164" s="36" t="str">
        <f>IF($C164&gt;=(4*I$82),((($C164*I$84)+(2*I$85))*#REF!),"-")</f>
        <v>-</v>
      </c>
      <c r="J164" s="36" t="str">
        <f>IF($C164&gt;=(4*J$82),((($C164*J$84)+(2*J$85))*#REF!),"-")</f>
        <v>-</v>
      </c>
      <c r="K164" s="36" t="str">
        <f>IF($C164&gt;=(4*K$82),((($C164*K$84)+(2*K$85))*#REF!),"-")</f>
        <v>-</v>
      </c>
      <c r="L164" s="36" t="str">
        <f>IF($C164&gt;=(4*L$82),((($C164*L$84)+(2*L$85))*#REF!),"-")</f>
        <v>-</v>
      </c>
      <c r="M164" s="36" t="str">
        <f t="shared" ref="M164:Z179" si="28">IF($C164&gt;=(4*M$82),((($C164*M$84)+(2*M$85))*#REF!),"-")</f>
        <v>-</v>
      </c>
      <c r="N164" s="36" t="str">
        <f t="shared" si="28"/>
        <v>-</v>
      </c>
      <c r="O164" s="36" t="str">
        <f t="shared" si="28"/>
        <v>-</v>
      </c>
      <c r="P164" s="36" t="str">
        <f t="shared" si="28"/>
        <v>-</v>
      </c>
      <c r="Q164" s="36" t="str">
        <f t="shared" si="28"/>
        <v>-</v>
      </c>
      <c r="R164" s="36" t="str">
        <f t="shared" si="28"/>
        <v>-</v>
      </c>
      <c r="S164" s="36" t="str">
        <f t="shared" si="28"/>
        <v>-</v>
      </c>
      <c r="T164" s="36" t="str">
        <f t="shared" si="28"/>
        <v>-</v>
      </c>
      <c r="U164" s="36" t="str">
        <f t="shared" si="28"/>
        <v>-</v>
      </c>
      <c r="V164" s="36" t="str">
        <f t="shared" si="28"/>
        <v>-</v>
      </c>
      <c r="W164" s="36" t="str">
        <f t="shared" si="28"/>
        <v>-</v>
      </c>
      <c r="X164" s="36" t="str">
        <f t="shared" si="28"/>
        <v>-</v>
      </c>
      <c r="Y164" s="36" t="str">
        <f t="shared" si="28"/>
        <v>-</v>
      </c>
      <c r="Z164" s="36" t="str">
        <f t="shared" si="28"/>
        <v>-</v>
      </c>
    </row>
    <row r="165" spans="1:26" x14ac:dyDescent="0.55000000000000004">
      <c r="A165" s="83"/>
      <c r="B165" s="83"/>
      <c r="C165" s="15">
        <v>2.25</v>
      </c>
      <c r="D165" s="36">
        <f t="shared" ref="D165:E201" si="29">(ROUNDDOWN((IF(((D$163*$C165)*(ROUNDDOWN($AC$2/D$160,0)*ROUNDDOWN($AC$3/D$160,0)*ROUNDDOWN($AC$4/$C165,0)))&lt;=20,((D$163*$C165)*(ROUNDDOWN($AC$2/D$160,0)*ROUNDDOWN($AC$3/D$160,0)*ROUNDDOWN($AC$4/$C165,0))),20/(D$163*$C165)))/10,0))*10</f>
        <v>580</v>
      </c>
      <c r="E165" s="36">
        <f t="shared" si="29"/>
        <v>420</v>
      </c>
      <c r="F165" s="36">
        <f>(ROUNDDOWN((IF(((F$6*$C165+2*F$7)*(ROUNDDOWN($AC$2/F$2,0)*ROUNDDOWN($AC$3/F$3,0)*ROUNDDOWN($AC$4/$C165,0)))&lt;=20,((F$6*$C165+2*F$7)*(ROUNDDOWN($AC$2/F$2,0)*ROUNDDOWN($AC$3/F$3,0)*ROUNDDOWN($AC$4/$C165,0))),20/(F$6*$C165+2*F$7)))/10,0))*10</f>
        <v>150</v>
      </c>
      <c r="G165" s="36" t="str">
        <f>IF($C165&gt;=(4*G$82),((($C165*G$84)+(2*G$85))*#REF!),"-")</f>
        <v>-</v>
      </c>
      <c r="H165" s="36" t="str">
        <f>IF($C165&gt;=(4*H$82),((($C165*H$84)+(2*H$85))*#REF!),"-")</f>
        <v>-</v>
      </c>
      <c r="I165" s="36" t="str">
        <f>IF($C165&gt;=(4*I$82),((($C165*I$84)+(2*I$85))*#REF!),"-")</f>
        <v>-</v>
      </c>
      <c r="J165" s="36" t="str">
        <f>IF($C165&gt;=(4*J$82),((($C165*J$84)+(2*J$85))*#REF!),"-")</f>
        <v>-</v>
      </c>
      <c r="K165" s="36" t="str">
        <f>IF($C165&gt;=(4*K$82),((($C165*K$84)+(2*K$85))*#REF!),"-")</f>
        <v>-</v>
      </c>
      <c r="L165" s="36" t="str">
        <f t="shared" ref="L165:L171" si="30">IF($C165&gt;=(4*L$82),((($C165*L$84)+(2*L$85))*#REF!),"-")</f>
        <v>-</v>
      </c>
      <c r="M165" s="36" t="str">
        <f t="shared" si="28"/>
        <v>-</v>
      </c>
      <c r="N165" s="36" t="str">
        <f t="shared" si="28"/>
        <v>-</v>
      </c>
      <c r="O165" s="36" t="str">
        <f t="shared" si="28"/>
        <v>-</v>
      </c>
      <c r="P165" s="36" t="str">
        <f t="shared" si="28"/>
        <v>-</v>
      </c>
      <c r="Q165" s="36" t="str">
        <f t="shared" si="28"/>
        <v>-</v>
      </c>
      <c r="R165" s="36" t="str">
        <f t="shared" si="28"/>
        <v>-</v>
      </c>
      <c r="S165" s="36" t="str">
        <f t="shared" si="28"/>
        <v>-</v>
      </c>
      <c r="T165" s="36" t="str">
        <f t="shared" si="28"/>
        <v>-</v>
      </c>
      <c r="U165" s="36" t="str">
        <f t="shared" si="28"/>
        <v>-</v>
      </c>
      <c r="V165" s="36" t="str">
        <f t="shared" si="28"/>
        <v>-</v>
      </c>
      <c r="W165" s="36" t="str">
        <f t="shared" si="28"/>
        <v>-</v>
      </c>
      <c r="X165" s="36" t="str">
        <f t="shared" si="28"/>
        <v>-</v>
      </c>
      <c r="Y165" s="36" t="str">
        <f t="shared" si="28"/>
        <v>-</v>
      </c>
      <c r="Z165" s="36" t="str">
        <f t="shared" si="28"/>
        <v>-</v>
      </c>
    </row>
    <row r="166" spans="1:26" x14ac:dyDescent="0.55000000000000004">
      <c r="A166" s="83"/>
      <c r="B166" s="83"/>
      <c r="C166" s="15">
        <v>2.5</v>
      </c>
      <c r="D166" s="36">
        <f t="shared" si="29"/>
        <v>520</v>
      </c>
      <c r="E166" s="36">
        <f t="shared" si="29"/>
        <v>380</v>
      </c>
      <c r="F166" s="36">
        <f t="shared" ref="F166:L200" si="31">(ROUNDDOWN((IF(((F$6*$C166+2*F$7)*(ROUNDDOWN($AC$2/F$2,0)*ROUNDDOWN($AC$3/F$3,0)*ROUNDDOWN($AC$4/$C166,0)))&lt;=20,((F$6*$C166+2*F$7)*(ROUNDDOWN($AC$2/F$2,0)*ROUNDDOWN($AC$3/F$3,0)*ROUNDDOWN($AC$4/$C166,0))),20/(F$6*$C166+2*F$7)))/10,0))*10</f>
        <v>140</v>
      </c>
      <c r="G166" s="36" t="str">
        <f t="shared" ref="G166:K173" si="32">IF($C166&gt;=(4*G$82),((($C166*G$84)+(2*G$85))*#REF!),"-")</f>
        <v>-</v>
      </c>
      <c r="H166" s="36" t="str">
        <f t="shared" si="32"/>
        <v>-</v>
      </c>
      <c r="I166" s="36" t="str">
        <f t="shared" si="32"/>
        <v>-</v>
      </c>
      <c r="J166" s="36" t="str">
        <f t="shared" si="32"/>
        <v>-</v>
      </c>
      <c r="K166" s="36" t="str">
        <f t="shared" si="32"/>
        <v>-</v>
      </c>
      <c r="L166" s="36" t="str">
        <f t="shared" si="30"/>
        <v>-</v>
      </c>
      <c r="M166" s="36" t="str">
        <f t="shared" si="28"/>
        <v>-</v>
      </c>
      <c r="N166" s="36" t="str">
        <f t="shared" si="28"/>
        <v>-</v>
      </c>
      <c r="O166" s="36" t="str">
        <f t="shared" si="28"/>
        <v>-</v>
      </c>
      <c r="P166" s="36" t="str">
        <f t="shared" si="28"/>
        <v>-</v>
      </c>
      <c r="Q166" s="36" t="str">
        <f t="shared" si="28"/>
        <v>-</v>
      </c>
      <c r="R166" s="36" t="str">
        <f t="shared" si="28"/>
        <v>-</v>
      </c>
      <c r="S166" s="36" t="str">
        <f t="shared" si="28"/>
        <v>-</v>
      </c>
      <c r="T166" s="36" t="str">
        <f t="shared" si="28"/>
        <v>-</v>
      </c>
      <c r="U166" s="36" t="str">
        <f t="shared" si="28"/>
        <v>-</v>
      </c>
      <c r="V166" s="36" t="str">
        <f t="shared" si="28"/>
        <v>-</v>
      </c>
      <c r="W166" s="36" t="str">
        <f t="shared" si="28"/>
        <v>-</v>
      </c>
      <c r="X166" s="36" t="str">
        <f t="shared" si="28"/>
        <v>-</v>
      </c>
      <c r="Y166" s="36" t="str">
        <f t="shared" si="28"/>
        <v>-</v>
      </c>
      <c r="Z166" s="36" t="str">
        <f t="shared" si="28"/>
        <v>-</v>
      </c>
    </row>
    <row r="167" spans="1:26" x14ac:dyDescent="0.55000000000000004">
      <c r="A167" s="83"/>
      <c r="B167" s="83"/>
      <c r="C167" s="15">
        <v>2.75</v>
      </c>
      <c r="D167" s="36">
        <f t="shared" si="29"/>
        <v>470</v>
      </c>
      <c r="E167" s="36">
        <f t="shared" si="29"/>
        <v>340</v>
      </c>
      <c r="F167" s="36">
        <f t="shared" si="31"/>
        <v>130</v>
      </c>
      <c r="G167" s="36">
        <v>80</v>
      </c>
      <c r="H167" s="36" t="str">
        <f t="shared" si="32"/>
        <v>-</v>
      </c>
      <c r="I167" s="36" t="str">
        <f t="shared" si="32"/>
        <v>-</v>
      </c>
      <c r="J167" s="36" t="str">
        <f t="shared" si="32"/>
        <v>-</v>
      </c>
      <c r="K167" s="36" t="str">
        <f t="shared" si="32"/>
        <v>-</v>
      </c>
      <c r="L167" s="36" t="str">
        <f t="shared" si="30"/>
        <v>-</v>
      </c>
      <c r="M167" s="36" t="str">
        <f t="shared" si="28"/>
        <v>-</v>
      </c>
      <c r="N167" s="36" t="str">
        <f t="shared" si="28"/>
        <v>-</v>
      </c>
      <c r="O167" s="36" t="str">
        <f t="shared" si="28"/>
        <v>-</v>
      </c>
      <c r="P167" s="36" t="str">
        <f t="shared" si="28"/>
        <v>-</v>
      </c>
      <c r="Q167" s="36" t="str">
        <f t="shared" si="28"/>
        <v>-</v>
      </c>
      <c r="R167" s="36" t="str">
        <f t="shared" si="28"/>
        <v>-</v>
      </c>
      <c r="S167" s="36" t="str">
        <f t="shared" si="28"/>
        <v>-</v>
      </c>
      <c r="T167" s="36" t="str">
        <f t="shared" si="28"/>
        <v>-</v>
      </c>
      <c r="U167" s="36" t="str">
        <f t="shared" si="28"/>
        <v>-</v>
      </c>
      <c r="V167" s="36" t="str">
        <f t="shared" si="28"/>
        <v>-</v>
      </c>
      <c r="W167" s="36" t="str">
        <f t="shared" si="28"/>
        <v>-</v>
      </c>
      <c r="X167" s="36" t="str">
        <f t="shared" si="28"/>
        <v>-</v>
      </c>
      <c r="Y167" s="36" t="str">
        <f t="shared" si="28"/>
        <v>-</v>
      </c>
      <c r="Z167" s="36" t="str">
        <f t="shared" si="28"/>
        <v>-</v>
      </c>
    </row>
    <row r="168" spans="1:26" x14ac:dyDescent="0.55000000000000004">
      <c r="A168" s="83"/>
      <c r="B168" s="83"/>
      <c r="C168" s="15">
        <v>3</v>
      </c>
      <c r="D168" s="36">
        <f t="shared" si="29"/>
        <v>430</v>
      </c>
      <c r="E168" s="36">
        <f t="shared" si="29"/>
        <v>310</v>
      </c>
      <c r="F168" s="36">
        <f t="shared" si="31"/>
        <v>130</v>
      </c>
      <c r="G168" s="36">
        <v>80</v>
      </c>
      <c r="H168" s="36">
        <v>50</v>
      </c>
      <c r="I168" s="36" t="str">
        <f t="shared" si="32"/>
        <v>-</v>
      </c>
      <c r="J168" s="36" t="str">
        <f t="shared" si="32"/>
        <v>-</v>
      </c>
      <c r="K168" s="36" t="str">
        <f t="shared" si="32"/>
        <v>-</v>
      </c>
      <c r="L168" s="36" t="str">
        <f t="shared" si="30"/>
        <v>-</v>
      </c>
      <c r="M168" s="36" t="str">
        <f t="shared" si="28"/>
        <v>-</v>
      </c>
      <c r="N168" s="36" t="str">
        <f t="shared" si="28"/>
        <v>-</v>
      </c>
      <c r="O168" s="36" t="str">
        <f t="shared" si="28"/>
        <v>-</v>
      </c>
      <c r="P168" s="36" t="str">
        <f t="shared" si="28"/>
        <v>-</v>
      </c>
      <c r="Q168" s="36" t="str">
        <f t="shared" si="28"/>
        <v>-</v>
      </c>
      <c r="R168" s="36" t="str">
        <f t="shared" si="28"/>
        <v>-</v>
      </c>
      <c r="S168" s="36" t="str">
        <f t="shared" si="28"/>
        <v>-</v>
      </c>
      <c r="T168" s="36" t="str">
        <f t="shared" si="28"/>
        <v>-</v>
      </c>
      <c r="U168" s="36" t="str">
        <f t="shared" si="28"/>
        <v>-</v>
      </c>
      <c r="V168" s="36" t="str">
        <f t="shared" si="28"/>
        <v>-</v>
      </c>
      <c r="W168" s="36" t="str">
        <f t="shared" si="28"/>
        <v>-</v>
      </c>
      <c r="X168" s="36" t="str">
        <f t="shared" si="28"/>
        <v>-</v>
      </c>
      <c r="Y168" s="36" t="str">
        <f t="shared" si="28"/>
        <v>-</v>
      </c>
      <c r="Z168" s="36" t="str">
        <f t="shared" si="28"/>
        <v>-</v>
      </c>
    </row>
    <row r="169" spans="1:26" x14ac:dyDescent="0.55000000000000004">
      <c r="A169" s="83"/>
      <c r="B169" s="83"/>
      <c r="C169" s="15">
        <v>3.25</v>
      </c>
      <c r="D169" s="36">
        <f t="shared" si="29"/>
        <v>400</v>
      </c>
      <c r="E169" s="36">
        <f t="shared" si="29"/>
        <v>290</v>
      </c>
      <c r="F169" s="36">
        <f t="shared" si="31"/>
        <v>120</v>
      </c>
      <c r="G169" s="36">
        <v>80</v>
      </c>
      <c r="H169" s="36">
        <v>50</v>
      </c>
      <c r="I169" s="36" t="str">
        <f t="shared" si="32"/>
        <v>-</v>
      </c>
      <c r="J169" s="36" t="str">
        <f t="shared" si="32"/>
        <v>-</v>
      </c>
      <c r="K169" s="36" t="str">
        <f t="shared" si="32"/>
        <v>-</v>
      </c>
      <c r="L169" s="36" t="str">
        <f t="shared" si="30"/>
        <v>-</v>
      </c>
      <c r="M169" s="36" t="str">
        <f t="shared" si="28"/>
        <v>-</v>
      </c>
      <c r="N169" s="36" t="str">
        <f t="shared" si="28"/>
        <v>-</v>
      </c>
      <c r="O169" s="36" t="str">
        <f t="shared" si="28"/>
        <v>-</v>
      </c>
      <c r="P169" s="36" t="str">
        <f t="shared" si="28"/>
        <v>-</v>
      </c>
      <c r="Q169" s="36" t="str">
        <f t="shared" si="28"/>
        <v>-</v>
      </c>
      <c r="R169" s="36" t="str">
        <f t="shared" si="28"/>
        <v>-</v>
      </c>
      <c r="S169" s="36" t="str">
        <f t="shared" si="28"/>
        <v>-</v>
      </c>
      <c r="T169" s="36" t="str">
        <f t="shared" si="28"/>
        <v>-</v>
      </c>
      <c r="U169" s="36" t="str">
        <f t="shared" si="28"/>
        <v>-</v>
      </c>
      <c r="V169" s="36" t="str">
        <f t="shared" si="28"/>
        <v>-</v>
      </c>
      <c r="W169" s="36" t="str">
        <f t="shared" si="28"/>
        <v>-</v>
      </c>
      <c r="X169" s="36" t="str">
        <f t="shared" si="28"/>
        <v>-</v>
      </c>
      <c r="Y169" s="36" t="str">
        <f t="shared" si="28"/>
        <v>-</v>
      </c>
      <c r="Z169" s="36" t="str">
        <f t="shared" si="28"/>
        <v>-</v>
      </c>
    </row>
    <row r="170" spans="1:26" x14ac:dyDescent="0.55000000000000004">
      <c r="A170" s="83"/>
      <c r="B170" s="83"/>
      <c r="C170" s="15">
        <v>3.5</v>
      </c>
      <c r="D170" s="36">
        <f t="shared" si="29"/>
        <v>370</v>
      </c>
      <c r="E170" s="36">
        <f t="shared" si="29"/>
        <v>270</v>
      </c>
      <c r="F170" s="36">
        <f t="shared" si="31"/>
        <v>120</v>
      </c>
      <c r="G170" s="36">
        <v>80</v>
      </c>
      <c r="H170" s="36">
        <v>50</v>
      </c>
      <c r="I170" s="36">
        <v>30</v>
      </c>
      <c r="J170" s="36" t="str">
        <f t="shared" si="32"/>
        <v>-</v>
      </c>
      <c r="K170" s="36" t="str">
        <f t="shared" si="32"/>
        <v>-</v>
      </c>
      <c r="L170" s="36" t="str">
        <f t="shared" si="30"/>
        <v>-</v>
      </c>
      <c r="M170" s="36" t="str">
        <f t="shared" si="28"/>
        <v>-</v>
      </c>
      <c r="N170" s="36" t="str">
        <f t="shared" si="28"/>
        <v>-</v>
      </c>
      <c r="O170" s="36" t="str">
        <f t="shared" si="28"/>
        <v>-</v>
      </c>
      <c r="P170" s="36" t="str">
        <f t="shared" si="28"/>
        <v>-</v>
      </c>
      <c r="Q170" s="36" t="str">
        <f t="shared" si="28"/>
        <v>-</v>
      </c>
      <c r="R170" s="36" t="str">
        <f t="shared" si="28"/>
        <v>-</v>
      </c>
      <c r="S170" s="36" t="str">
        <f t="shared" si="28"/>
        <v>-</v>
      </c>
      <c r="T170" s="36" t="str">
        <f t="shared" si="28"/>
        <v>-</v>
      </c>
      <c r="U170" s="36" t="str">
        <f t="shared" si="28"/>
        <v>-</v>
      </c>
      <c r="V170" s="36" t="str">
        <f t="shared" si="28"/>
        <v>-</v>
      </c>
      <c r="W170" s="36" t="str">
        <f t="shared" si="28"/>
        <v>-</v>
      </c>
      <c r="X170" s="36" t="str">
        <f t="shared" si="28"/>
        <v>-</v>
      </c>
      <c r="Y170" s="36" t="str">
        <f t="shared" si="28"/>
        <v>-</v>
      </c>
      <c r="Z170" s="36" t="str">
        <f t="shared" si="28"/>
        <v>-</v>
      </c>
    </row>
    <row r="171" spans="1:26" x14ac:dyDescent="0.55000000000000004">
      <c r="A171" s="83"/>
      <c r="B171" s="83"/>
      <c r="C171" s="15">
        <v>3.75</v>
      </c>
      <c r="D171" s="36">
        <f t="shared" si="29"/>
        <v>350</v>
      </c>
      <c r="E171" s="36">
        <f t="shared" si="29"/>
        <v>250</v>
      </c>
      <c r="F171" s="36">
        <f t="shared" si="31"/>
        <v>110</v>
      </c>
      <c r="G171" s="36">
        <v>75</v>
      </c>
      <c r="H171" s="36">
        <v>45</v>
      </c>
      <c r="I171" s="36">
        <v>30</v>
      </c>
      <c r="J171" s="36" t="str">
        <f t="shared" si="32"/>
        <v>-</v>
      </c>
      <c r="K171" s="36" t="str">
        <f t="shared" si="32"/>
        <v>-</v>
      </c>
      <c r="L171" s="36" t="str">
        <f t="shared" si="30"/>
        <v>-</v>
      </c>
      <c r="M171" s="36" t="str">
        <f t="shared" si="28"/>
        <v>-</v>
      </c>
      <c r="N171" s="36" t="str">
        <f t="shared" si="28"/>
        <v>-</v>
      </c>
      <c r="O171" s="36" t="str">
        <f t="shared" si="28"/>
        <v>-</v>
      </c>
      <c r="P171" s="36" t="str">
        <f t="shared" si="28"/>
        <v>-</v>
      </c>
      <c r="Q171" s="36" t="str">
        <f t="shared" si="28"/>
        <v>-</v>
      </c>
      <c r="R171" s="36" t="str">
        <f t="shared" si="28"/>
        <v>-</v>
      </c>
      <c r="S171" s="36" t="str">
        <f t="shared" si="28"/>
        <v>-</v>
      </c>
      <c r="T171" s="36" t="str">
        <f t="shared" si="28"/>
        <v>-</v>
      </c>
      <c r="U171" s="36" t="str">
        <f t="shared" si="28"/>
        <v>-</v>
      </c>
      <c r="V171" s="36" t="str">
        <f t="shared" si="28"/>
        <v>-</v>
      </c>
      <c r="W171" s="36" t="str">
        <f t="shared" si="28"/>
        <v>-</v>
      </c>
      <c r="X171" s="36" t="str">
        <f t="shared" si="28"/>
        <v>-</v>
      </c>
      <c r="Y171" s="36" t="str">
        <f t="shared" si="28"/>
        <v>-</v>
      </c>
      <c r="Z171" s="36" t="str">
        <f t="shared" si="28"/>
        <v>-</v>
      </c>
    </row>
    <row r="172" spans="1:26" x14ac:dyDescent="0.55000000000000004">
      <c r="A172" s="83"/>
      <c r="B172" s="83"/>
      <c r="C172" s="15">
        <v>4</v>
      </c>
      <c r="D172" s="36">
        <f t="shared" si="29"/>
        <v>320</v>
      </c>
      <c r="E172" s="36">
        <f t="shared" si="29"/>
        <v>230</v>
      </c>
      <c r="F172" s="36">
        <f t="shared" si="31"/>
        <v>110</v>
      </c>
      <c r="G172" s="36">
        <v>75</v>
      </c>
      <c r="H172" s="36">
        <v>45</v>
      </c>
      <c r="I172" s="36">
        <v>30</v>
      </c>
      <c r="J172" s="36">
        <v>20</v>
      </c>
      <c r="K172" s="36" t="str">
        <f t="shared" si="32"/>
        <v>-</v>
      </c>
      <c r="L172" s="36" t="str">
        <f>IF($C172&gt;=(4*L$82),((($C172*L$84)+(2*L$85))*#REF!),"-")</f>
        <v>-</v>
      </c>
      <c r="M172" s="36" t="str">
        <f>IF($C172&gt;=(4*M$82),((($C172*M$84)+(2*M$85))*#REF!),"-")</f>
        <v>-</v>
      </c>
      <c r="N172" s="36" t="str">
        <f>IF($C172&gt;=(4*N$82),((($C172*N$84)+(2*N$85))*#REF!),"-")</f>
        <v>-</v>
      </c>
      <c r="O172" s="36" t="str">
        <f>IF($C172&gt;=(4*O$82),((($C172*O$84)+(2*O$85))*#REF!),"-")</f>
        <v>-</v>
      </c>
      <c r="P172" s="36" t="str">
        <f>IF($C172&gt;=(4*P$82),((($C172*P$84)+(2*P$85))*#REF!),"-")</f>
        <v>-</v>
      </c>
      <c r="Q172" s="36" t="str">
        <f t="shared" si="28"/>
        <v>-</v>
      </c>
      <c r="R172" s="36" t="str">
        <f t="shared" si="28"/>
        <v>-</v>
      </c>
      <c r="S172" s="36" t="str">
        <f t="shared" si="28"/>
        <v>-</v>
      </c>
      <c r="T172" s="36" t="str">
        <f t="shared" si="28"/>
        <v>-</v>
      </c>
      <c r="U172" s="36" t="str">
        <f t="shared" si="28"/>
        <v>-</v>
      </c>
      <c r="V172" s="36" t="str">
        <f t="shared" si="28"/>
        <v>-</v>
      </c>
      <c r="W172" s="36" t="str">
        <f t="shared" si="28"/>
        <v>-</v>
      </c>
      <c r="X172" s="36" t="str">
        <f t="shared" si="28"/>
        <v>-</v>
      </c>
      <c r="Y172" s="36" t="str">
        <f t="shared" si="28"/>
        <v>-</v>
      </c>
      <c r="Z172" s="36" t="str">
        <f t="shared" si="28"/>
        <v>-</v>
      </c>
    </row>
    <row r="173" spans="1:26" x14ac:dyDescent="0.55000000000000004">
      <c r="A173" s="83"/>
      <c r="B173" s="83"/>
      <c r="C173" s="15">
        <v>4.25</v>
      </c>
      <c r="D173" s="36">
        <f t="shared" si="29"/>
        <v>300</v>
      </c>
      <c r="E173" s="36">
        <f t="shared" si="29"/>
        <v>220</v>
      </c>
      <c r="F173" s="36">
        <f t="shared" si="31"/>
        <v>100</v>
      </c>
      <c r="G173" s="36">
        <v>70</v>
      </c>
      <c r="H173" s="36">
        <v>45</v>
      </c>
      <c r="I173" s="36">
        <v>30</v>
      </c>
      <c r="J173" s="36">
        <v>20</v>
      </c>
      <c r="K173" s="36" t="str">
        <f t="shared" si="32"/>
        <v>-</v>
      </c>
      <c r="L173" s="36" t="str">
        <f>IF($C173&gt;=(4*L$82),((($C173*L$84)+(2*L$85))*#REF!),"-")</f>
        <v>-</v>
      </c>
      <c r="M173" s="36" t="str">
        <f>IF($C173&gt;=(4*M$82),((($C173*M$84)+(2*M$85))*#REF!),"-")</f>
        <v>-</v>
      </c>
      <c r="N173" s="36" t="str">
        <f>IF($C173&gt;=(4*N$82),((($C173*N$84)+(2*N$85))*#REF!),"-")</f>
        <v>-</v>
      </c>
      <c r="O173" s="36" t="str">
        <f>IF($C173&gt;=(4*O$82),((($C173*O$84)+(2*O$85))*#REF!),"-")</f>
        <v>-</v>
      </c>
      <c r="P173" s="36" t="str">
        <f>IF($C173&gt;=(4*P$82),((($C173*P$84)+(2*P$85))*#REF!),"-")</f>
        <v>-</v>
      </c>
      <c r="Q173" s="36" t="str">
        <f t="shared" si="28"/>
        <v>-</v>
      </c>
      <c r="R173" s="36" t="str">
        <f t="shared" si="28"/>
        <v>-</v>
      </c>
      <c r="S173" s="36" t="str">
        <f t="shared" si="28"/>
        <v>-</v>
      </c>
      <c r="T173" s="36" t="str">
        <f t="shared" si="28"/>
        <v>-</v>
      </c>
      <c r="U173" s="36" t="str">
        <f t="shared" si="28"/>
        <v>-</v>
      </c>
      <c r="V173" s="36" t="str">
        <f t="shared" si="28"/>
        <v>-</v>
      </c>
      <c r="W173" s="36" t="str">
        <f t="shared" si="28"/>
        <v>-</v>
      </c>
      <c r="X173" s="36" t="str">
        <f t="shared" si="28"/>
        <v>-</v>
      </c>
      <c r="Y173" s="36" t="str">
        <f t="shared" si="28"/>
        <v>-</v>
      </c>
      <c r="Z173" s="36" t="str">
        <f t="shared" si="28"/>
        <v>-</v>
      </c>
    </row>
    <row r="174" spans="1:26" x14ac:dyDescent="0.55000000000000004">
      <c r="A174" s="83"/>
      <c r="B174" s="83"/>
      <c r="C174" s="15">
        <v>4.5</v>
      </c>
      <c r="D174" s="36">
        <f t="shared" si="29"/>
        <v>290</v>
      </c>
      <c r="E174" s="36">
        <f t="shared" si="29"/>
        <v>210</v>
      </c>
      <c r="F174" s="36">
        <f t="shared" si="31"/>
        <v>100</v>
      </c>
      <c r="G174" s="36">
        <v>70</v>
      </c>
      <c r="H174" s="36">
        <v>45</v>
      </c>
      <c r="I174" s="36">
        <v>30</v>
      </c>
      <c r="J174" s="36">
        <v>20</v>
      </c>
      <c r="K174" s="36">
        <v>15</v>
      </c>
      <c r="L174" s="36" t="str">
        <f>IF($C174&gt;=(4*L$82),((($C174*L$84)+(2*L$85))*#REF!),"-")</f>
        <v>-</v>
      </c>
      <c r="M174" s="36" t="str">
        <f>IF($C174&gt;=(4*M$82),((($C174*M$84)+(2*M$85))*#REF!),"-")</f>
        <v>-</v>
      </c>
      <c r="N174" s="36" t="str">
        <f>IF($C174&gt;=(4*N$82),((($C174*N$84)+(2*N$85))*#REF!),"-")</f>
        <v>-</v>
      </c>
      <c r="O174" s="36" t="str">
        <f>IF($C174&gt;=(4*O$82),((($C174*O$84)+(2*O$85))*#REF!),"-")</f>
        <v>-</v>
      </c>
      <c r="P174" s="36" t="str">
        <f>IF($C174&gt;=(4*P$82),((($C174*P$84)+(2*P$85))*#REF!),"-")</f>
        <v>-</v>
      </c>
      <c r="Q174" s="36" t="str">
        <f t="shared" si="28"/>
        <v>-</v>
      </c>
      <c r="R174" s="36" t="str">
        <f t="shared" si="28"/>
        <v>-</v>
      </c>
      <c r="S174" s="36" t="str">
        <f t="shared" si="28"/>
        <v>-</v>
      </c>
      <c r="T174" s="36" t="str">
        <f t="shared" si="28"/>
        <v>-</v>
      </c>
      <c r="U174" s="36" t="str">
        <f t="shared" si="28"/>
        <v>-</v>
      </c>
      <c r="V174" s="36" t="str">
        <f t="shared" si="28"/>
        <v>-</v>
      </c>
      <c r="W174" s="36" t="s">
        <v>382</v>
      </c>
      <c r="X174" s="36" t="s">
        <v>382</v>
      </c>
      <c r="Y174" s="36" t="s">
        <v>382</v>
      </c>
      <c r="Z174" s="36" t="s">
        <v>382</v>
      </c>
    </row>
    <row r="175" spans="1:26" x14ac:dyDescent="0.55000000000000004">
      <c r="A175" s="83"/>
      <c r="B175" s="83"/>
      <c r="C175" s="15">
        <v>4.75</v>
      </c>
      <c r="D175" s="36">
        <f t="shared" si="29"/>
        <v>270</v>
      </c>
      <c r="E175" s="36">
        <f t="shared" si="29"/>
        <v>200</v>
      </c>
      <c r="F175" s="36">
        <f t="shared" si="31"/>
        <v>100</v>
      </c>
      <c r="G175" s="36">
        <f t="shared" si="31"/>
        <v>70</v>
      </c>
      <c r="H175" s="36">
        <v>45</v>
      </c>
      <c r="I175" s="36">
        <v>30</v>
      </c>
      <c r="J175" s="36">
        <v>20</v>
      </c>
      <c r="K175" s="36">
        <v>15</v>
      </c>
      <c r="L175" s="36" t="str">
        <f>IF($C175&gt;=(4*L$82),((($C175*L$84)+(2*L$85))*#REF!),"-")</f>
        <v>-</v>
      </c>
      <c r="M175" s="36" t="str">
        <f>IF($C175&gt;=(4*M$82),((($C175*M$84)+(2*M$85))*#REF!),"-")</f>
        <v>-</v>
      </c>
      <c r="N175" s="36" t="str">
        <f>IF($C175&gt;=(4*N$82),((($C175*N$84)+(2*N$85))*#REF!),"-")</f>
        <v>-</v>
      </c>
      <c r="O175" s="36" t="str">
        <f>IF($C175&gt;=(4*O$82),((($C175*O$84)+(2*O$85))*#REF!),"-")</f>
        <v>-</v>
      </c>
      <c r="P175" s="36" t="str">
        <f>IF($C175&gt;=(4*P$82),((($C175*P$84)+(2*P$85))*#REF!),"-")</f>
        <v>-</v>
      </c>
      <c r="Q175" s="36" t="str">
        <f t="shared" si="28"/>
        <v>-</v>
      </c>
      <c r="R175" s="36" t="str">
        <f t="shared" si="28"/>
        <v>-</v>
      </c>
      <c r="S175" s="36" t="str">
        <f t="shared" si="28"/>
        <v>-</v>
      </c>
      <c r="T175" s="36" t="str">
        <f t="shared" si="28"/>
        <v>-</v>
      </c>
      <c r="U175" s="36" t="str">
        <f t="shared" si="28"/>
        <v>-</v>
      </c>
      <c r="V175" s="36" t="str">
        <f t="shared" si="28"/>
        <v>-</v>
      </c>
      <c r="W175" s="36" t="s">
        <v>382</v>
      </c>
      <c r="X175" s="36" t="s">
        <v>382</v>
      </c>
      <c r="Y175" s="36" t="s">
        <v>382</v>
      </c>
      <c r="Z175" s="36" t="s">
        <v>382</v>
      </c>
    </row>
    <row r="176" spans="1:26" x14ac:dyDescent="0.55000000000000004">
      <c r="A176" s="83"/>
      <c r="B176" s="83"/>
      <c r="C176" s="15">
        <v>5</v>
      </c>
      <c r="D176" s="36">
        <f t="shared" si="29"/>
        <v>260</v>
      </c>
      <c r="E176" s="36">
        <f t="shared" si="29"/>
        <v>190</v>
      </c>
      <c r="F176" s="36">
        <f t="shared" si="31"/>
        <v>90</v>
      </c>
      <c r="G176" s="36">
        <f t="shared" si="31"/>
        <v>70</v>
      </c>
      <c r="H176" s="36">
        <v>40</v>
      </c>
      <c r="I176" s="36">
        <v>30</v>
      </c>
      <c r="J176" s="36">
        <v>20</v>
      </c>
      <c r="K176" s="36">
        <v>15</v>
      </c>
      <c r="L176" s="36">
        <v>10</v>
      </c>
      <c r="M176" s="36" t="str">
        <f>IF($C176&gt;=(4*M$82),((($C176*M$84)+(2*M$85))*#REF!),"-")</f>
        <v>-</v>
      </c>
      <c r="N176" s="36" t="str">
        <f>IF($C176&gt;=(4*N$82),((($C176*N$84)+(2*N$85))*#REF!),"-")</f>
        <v>-</v>
      </c>
      <c r="O176" s="36" t="str">
        <f>IF($C176&gt;=(4*O$82),((($C176*O$84)+(2*O$85))*#REF!),"-")</f>
        <v>-</v>
      </c>
      <c r="P176" s="36" t="str">
        <f>IF($C176&gt;=(4*P$82),((($C176*P$84)+(2*P$85))*#REF!),"-")</f>
        <v>-</v>
      </c>
      <c r="Q176" s="36" t="str">
        <f t="shared" si="28"/>
        <v>-</v>
      </c>
      <c r="R176" s="36" t="str">
        <f t="shared" si="28"/>
        <v>-</v>
      </c>
      <c r="S176" s="36" t="str">
        <f t="shared" si="28"/>
        <v>-</v>
      </c>
      <c r="T176" s="36" t="str">
        <f t="shared" si="28"/>
        <v>-</v>
      </c>
      <c r="U176" s="36" t="str">
        <f t="shared" si="28"/>
        <v>-</v>
      </c>
      <c r="V176" s="36" t="str">
        <f t="shared" si="28"/>
        <v>-</v>
      </c>
      <c r="W176" s="36" t="s">
        <v>382</v>
      </c>
      <c r="X176" s="36" t="s">
        <v>382</v>
      </c>
      <c r="Y176" s="36" t="s">
        <v>382</v>
      </c>
      <c r="Z176" s="36" t="s">
        <v>382</v>
      </c>
    </row>
    <row r="177" spans="1:26" x14ac:dyDescent="0.55000000000000004">
      <c r="A177" s="83"/>
      <c r="B177" s="83"/>
      <c r="C177" s="15">
        <v>5.25</v>
      </c>
      <c r="D177" s="36">
        <f t="shared" si="29"/>
        <v>250</v>
      </c>
      <c r="E177" s="36">
        <f t="shared" si="29"/>
        <v>180</v>
      </c>
      <c r="F177" s="36">
        <f t="shared" si="31"/>
        <v>90</v>
      </c>
      <c r="G177" s="36">
        <f t="shared" si="31"/>
        <v>70</v>
      </c>
      <c r="H177" s="36">
        <f t="shared" si="31"/>
        <v>40</v>
      </c>
      <c r="I177" s="36">
        <v>25</v>
      </c>
      <c r="J177" s="36">
        <v>20</v>
      </c>
      <c r="K177" s="36">
        <v>15</v>
      </c>
      <c r="L177" s="36">
        <v>10</v>
      </c>
      <c r="M177" s="36" t="str">
        <f>IF($C177&gt;=(4*M$82),((($C177*M$84)+(2*M$85))*#REF!),"-")</f>
        <v>-</v>
      </c>
      <c r="N177" s="36" t="str">
        <f>IF($C177&gt;=(4*N$82),((($C177*N$84)+(2*N$85))*#REF!),"-")</f>
        <v>-</v>
      </c>
      <c r="O177" s="36" t="str">
        <f>IF($C177&gt;=(4*O$82),((($C177*O$84)+(2*O$85))*#REF!),"-")</f>
        <v>-</v>
      </c>
      <c r="P177" s="36" t="str">
        <f>IF($C177&gt;=(4*P$82),((($C177*P$84)+(2*P$85))*#REF!),"-")</f>
        <v>-</v>
      </c>
      <c r="Q177" s="36" t="str">
        <f t="shared" si="28"/>
        <v>-</v>
      </c>
      <c r="R177" s="36" t="str">
        <f t="shared" si="28"/>
        <v>-</v>
      </c>
      <c r="S177" s="36" t="str">
        <f t="shared" si="28"/>
        <v>-</v>
      </c>
      <c r="T177" s="36" t="str">
        <f t="shared" si="28"/>
        <v>-</v>
      </c>
      <c r="U177" s="36" t="str">
        <f t="shared" si="28"/>
        <v>-</v>
      </c>
      <c r="V177" s="36" t="str">
        <f t="shared" si="28"/>
        <v>-</v>
      </c>
      <c r="W177" s="36" t="s">
        <v>382</v>
      </c>
      <c r="X177" s="36" t="s">
        <v>382</v>
      </c>
      <c r="Y177" s="36" t="s">
        <v>382</v>
      </c>
      <c r="Z177" s="36" t="s">
        <v>382</v>
      </c>
    </row>
    <row r="178" spans="1:26" x14ac:dyDescent="0.55000000000000004">
      <c r="A178" s="83"/>
      <c r="B178" s="83"/>
      <c r="C178" s="15">
        <v>5.5</v>
      </c>
      <c r="D178" s="36">
        <f t="shared" si="29"/>
        <v>230</v>
      </c>
      <c r="E178" s="36">
        <f t="shared" si="29"/>
        <v>170</v>
      </c>
      <c r="F178" s="36">
        <f t="shared" si="31"/>
        <v>90</v>
      </c>
      <c r="G178" s="36">
        <f t="shared" si="31"/>
        <v>60</v>
      </c>
      <c r="H178" s="36">
        <f t="shared" si="31"/>
        <v>40</v>
      </c>
      <c r="I178" s="36">
        <v>25</v>
      </c>
      <c r="J178" s="36">
        <v>20</v>
      </c>
      <c r="K178" s="36">
        <v>15</v>
      </c>
      <c r="L178" s="36">
        <v>10</v>
      </c>
      <c r="M178" s="36">
        <v>10</v>
      </c>
      <c r="N178" s="36" t="str">
        <f>IF($C178&gt;=(4*N$82),((($C178*N$84)+(2*N$85))*#REF!),"-")</f>
        <v>-</v>
      </c>
      <c r="O178" s="36" t="str">
        <f>IF($C178&gt;=(4*O$82),((($C178*O$84)+(2*O$85))*#REF!),"-")</f>
        <v>-</v>
      </c>
      <c r="P178" s="36" t="str">
        <f>IF($C178&gt;=(4*P$82),((($C178*P$84)+(2*P$85))*#REF!),"-")</f>
        <v>-</v>
      </c>
      <c r="Q178" s="36" t="str">
        <f t="shared" si="28"/>
        <v>-</v>
      </c>
      <c r="R178" s="36" t="str">
        <f t="shared" si="28"/>
        <v>-</v>
      </c>
      <c r="S178" s="36" t="str">
        <f t="shared" si="28"/>
        <v>-</v>
      </c>
      <c r="T178" s="36" t="str">
        <f t="shared" si="28"/>
        <v>-</v>
      </c>
      <c r="U178" s="36" t="str">
        <f t="shared" si="28"/>
        <v>-</v>
      </c>
      <c r="V178" s="36" t="str">
        <f t="shared" si="28"/>
        <v>-</v>
      </c>
      <c r="W178" s="36" t="s">
        <v>382</v>
      </c>
      <c r="X178" s="36" t="s">
        <v>382</v>
      </c>
      <c r="Y178" s="36" t="s">
        <v>382</v>
      </c>
      <c r="Z178" s="36" t="s">
        <v>382</v>
      </c>
    </row>
    <row r="179" spans="1:26" x14ac:dyDescent="0.55000000000000004">
      <c r="A179" s="83"/>
      <c r="B179" s="83"/>
      <c r="C179" s="15">
        <v>5.75</v>
      </c>
      <c r="D179" s="36">
        <f t="shared" si="29"/>
        <v>220</v>
      </c>
      <c r="E179" s="36">
        <f t="shared" si="29"/>
        <v>160</v>
      </c>
      <c r="F179" s="36">
        <f t="shared" si="31"/>
        <v>80</v>
      </c>
      <c r="G179" s="36">
        <f t="shared" si="31"/>
        <v>60</v>
      </c>
      <c r="H179" s="36">
        <f t="shared" si="31"/>
        <v>40</v>
      </c>
      <c r="I179" s="36">
        <v>25</v>
      </c>
      <c r="J179" s="36">
        <v>20</v>
      </c>
      <c r="K179" s="36">
        <v>15</v>
      </c>
      <c r="L179" s="36">
        <v>10</v>
      </c>
      <c r="M179" s="36">
        <v>10</v>
      </c>
      <c r="N179" s="36" t="str">
        <f>IF($C179&gt;=(4*N$82),((($C179*N$84)+(2*N$85))*#REF!),"-")</f>
        <v>-</v>
      </c>
      <c r="O179" s="36" t="str">
        <f>IF($C179&gt;=(4*O$82),((($C179*O$84)+(2*O$85))*#REF!),"-")</f>
        <v>-</v>
      </c>
      <c r="P179" s="36" t="str">
        <f>IF($C179&gt;=(4*P$82),((($C179*P$84)+(2*P$85))*#REF!),"-")</f>
        <v>-</v>
      </c>
      <c r="Q179" s="36" t="str">
        <f t="shared" si="28"/>
        <v>-</v>
      </c>
      <c r="R179" s="36" t="str">
        <f t="shared" si="28"/>
        <v>-</v>
      </c>
      <c r="S179" s="36" t="str">
        <f t="shared" si="28"/>
        <v>-</v>
      </c>
      <c r="T179" s="36" t="str">
        <f t="shared" si="28"/>
        <v>-</v>
      </c>
      <c r="U179" s="36" t="str">
        <f t="shared" si="28"/>
        <v>-</v>
      </c>
      <c r="V179" s="36" t="str">
        <f t="shared" si="28"/>
        <v>-</v>
      </c>
      <c r="W179" s="36" t="s">
        <v>382</v>
      </c>
      <c r="X179" s="36" t="s">
        <v>382</v>
      </c>
      <c r="Y179" s="36" t="s">
        <v>382</v>
      </c>
      <c r="Z179" s="36" t="s">
        <v>382</v>
      </c>
    </row>
    <row r="180" spans="1:26" x14ac:dyDescent="0.55000000000000004">
      <c r="A180" s="83"/>
      <c r="B180" s="83"/>
      <c r="C180" s="15">
        <v>6</v>
      </c>
      <c r="D180" s="36">
        <f t="shared" si="29"/>
        <v>210</v>
      </c>
      <c r="E180" s="36">
        <f t="shared" si="29"/>
        <v>150</v>
      </c>
      <c r="F180" s="36">
        <f t="shared" si="31"/>
        <v>80</v>
      </c>
      <c r="G180" s="36">
        <f t="shared" si="31"/>
        <v>60</v>
      </c>
      <c r="H180" s="36">
        <f t="shared" si="31"/>
        <v>40</v>
      </c>
      <c r="I180" s="36">
        <f t="shared" si="31"/>
        <v>20</v>
      </c>
      <c r="J180" s="36">
        <v>20</v>
      </c>
      <c r="K180" s="36">
        <v>15</v>
      </c>
      <c r="L180" s="36">
        <v>10</v>
      </c>
      <c r="M180" s="36">
        <v>10</v>
      </c>
      <c r="N180" s="36">
        <v>10</v>
      </c>
      <c r="O180" s="36" t="str">
        <f>IF($C180&gt;=(4*O$82),((($C180*O$84)+(2*O$85))*#REF!),"-")</f>
        <v>-</v>
      </c>
      <c r="P180" s="36" t="str">
        <f>IF($C180&gt;=(4*P$82),((($C180*P$84)+(2*P$85))*#REF!),"-")</f>
        <v>-</v>
      </c>
      <c r="Q180" s="36" t="str">
        <f t="shared" ref="Q180:V183" si="33">IF($C180&gt;=(4*Q$82),((($C180*Q$84)+(2*Q$85))*#REF!),"-")</f>
        <v>-</v>
      </c>
      <c r="R180" s="36" t="str">
        <f t="shared" si="33"/>
        <v>-</v>
      </c>
      <c r="S180" s="36" t="str">
        <f t="shared" si="33"/>
        <v>-</v>
      </c>
      <c r="T180" s="36" t="str">
        <f t="shared" si="33"/>
        <v>-</v>
      </c>
      <c r="U180" s="36" t="str">
        <f t="shared" si="33"/>
        <v>-</v>
      </c>
      <c r="V180" s="36" t="str">
        <f t="shared" si="33"/>
        <v>-</v>
      </c>
      <c r="W180" s="36" t="s">
        <v>382</v>
      </c>
      <c r="X180" s="36" t="s">
        <v>382</v>
      </c>
      <c r="Y180" s="36" t="s">
        <v>382</v>
      </c>
      <c r="Z180" s="36" t="s">
        <v>382</v>
      </c>
    </row>
    <row r="181" spans="1:26" x14ac:dyDescent="0.55000000000000004">
      <c r="A181" s="83"/>
      <c r="B181" s="83"/>
      <c r="C181" s="15">
        <v>6.25</v>
      </c>
      <c r="D181" s="36">
        <f t="shared" si="29"/>
        <v>210</v>
      </c>
      <c r="E181" s="36">
        <f t="shared" si="29"/>
        <v>150</v>
      </c>
      <c r="F181" s="36">
        <f t="shared" si="31"/>
        <v>80</v>
      </c>
      <c r="G181" s="36">
        <f t="shared" si="31"/>
        <v>60</v>
      </c>
      <c r="H181" s="36">
        <f t="shared" si="31"/>
        <v>40</v>
      </c>
      <c r="I181" s="36">
        <f t="shared" si="31"/>
        <v>20</v>
      </c>
      <c r="J181" s="36">
        <v>20</v>
      </c>
      <c r="K181" s="36">
        <v>15</v>
      </c>
      <c r="L181" s="36">
        <v>10</v>
      </c>
      <c r="M181" s="36">
        <v>10</v>
      </c>
      <c r="N181" s="36">
        <v>10</v>
      </c>
      <c r="O181" s="36" t="str">
        <f>IF($C181&gt;=(4*O$82),((($C181*O$84)+(2*O$85))*#REF!),"-")</f>
        <v>-</v>
      </c>
      <c r="P181" s="36" t="str">
        <f>IF($C181&gt;=(4*P$82),((($C181*P$84)+(2*P$85))*#REF!),"-")</f>
        <v>-</v>
      </c>
      <c r="Q181" s="36" t="str">
        <f t="shared" si="33"/>
        <v>-</v>
      </c>
      <c r="R181" s="36" t="str">
        <f t="shared" si="33"/>
        <v>-</v>
      </c>
      <c r="S181" s="36" t="str">
        <f t="shared" si="33"/>
        <v>-</v>
      </c>
      <c r="T181" s="36" t="str">
        <f t="shared" si="33"/>
        <v>-</v>
      </c>
      <c r="U181" s="36" t="str">
        <f t="shared" si="33"/>
        <v>-</v>
      </c>
      <c r="V181" s="36" t="str">
        <f t="shared" si="33"/>
        <v>-</v>
      </c>
      <c r="W181" s="36" t="s">
        <v>382</v>
      </c>
      <c r="X181" s="36" t="s">
        <v>382</v>
      </c>
      <c r="Y181" s="36" t="s">
        <v>382</v>
      </c>
      <c r="Z181" s="36" t="s">
        <v>382</v>
      </c>
    </row>
    <row r="182" spans="1:26" x14ac:dyDescent="0.55000000000000004">
      <c r="A182" s="83"/>
      <c r="B182" s="83"/>
      <c r="C182" s="15">
        <v>6.5</v>
      </c>
      <c r="D182" s="36">
        <f t="shared" si="29"/>
        <v>200</v>
      </c>
      <c r="E182" s="36">
        <f t="shared" si="29"/>
        <v>140</v>
      </c>
      <c r="F182" s="36">
        <f t="shared" si="31"/>
        <v>80</v>
      </c>
      <c r="G182" s="36">
        <f t="shared" si="31"/>
        <v>60</v>
      </c>
      <c r="H182" s="36">
        <f t="shared" si="31"/>
        <v>40</v>
      </c>
      <c r="I182" s="36">
        <f t="shared" si="31"/>
        <v>20</v>
      </c>
      <c r="J182" s="36">
        <v>15</v>
      </c>
      <c r="K182" s="36">
        <v>12</v>
      </c>
      <c r="L182" s="36">
        <v>10</v>
      </c>
      <c r="M182" s="36">
        <v>10</v>
      </c>
      <c r="N182" s="36">
        <v>10</v>
      </c>
      <c r="O182" s="36" t="s">
        <v>382</v>
      </c>
      <c r="P182" s="36" t="str">
        <f>IF($C182&gt;=(4*P$82),((($C182*P$84)+(2*P$85))*#REF!),"-")</f>
        <v>-</v>
      </c>
      <c r="Q182" s="36" t="str">
        <f t="shared" si="33"/>
        <v>-</v>
      </c>
      <c r="R182" s="36" t="str">
        <f t="shared" si="33"/>
        <v>-</v>
      </c>
      <c r="S182" s="36" t="str">
        <f t="shared" si="33"/>
        <v>-</v>
      </c>
      <c r="T182" s="36" t="str">
        <f t="shared" si="33"/>
        <v>-</v>
      </c>
      <c r="U182" s="36" t="str">
        <f t="shared" si="33"/>
        <v>-</v>
      </c>
      <c r="V182" s="36" t="str">
        <f t="shared" si="33"/>
        <v>-</v>
      </c>
      <c r="W182" s="36" t="s">
        <v>382</v>
      </c>
      <c r="X182" s="36" t="s">
        <v>382</v>
      </c>
      <c r="Y182" s="36" t="s">
        <v>382</v>
      </c>
      <c r="Z182" s="36" t="s">
        <v>382</v>
      </c>
    </row>
    <row r="183" spans="1:26" x14ac:dyDescent="0.55000000000000004">
      <c r="A183" s="83"/>
      <c r="B183" s="83"/>
      <c r="C183" s="15">
        <v>6.75</v>
      </c>
      <c r="D183" s="36">
        <f t="shared" si="29"/>
        <v>190</v>
      </c>
      <c r="E183" s="36">
        <f t="shared" si="29"/>
        <v>140</v>
      </c>
      <c r="F183" s="36">
        <f t="shared" si="31"/>
        <v>80</v>
      </c>
      <c r="G183" s="36">
        <f t="shared" si="31"/>
        <v>60</v>
      </c>
      <c r="H183" s="36">
        <f t="shared" si="31"/>
        <v>30</v>
      </c>
      <c r="I183" s="36">
        <f t="shared" si="31"/>
        <v>20</v>
      </c>
      <c r="J183" s="36">
        <v>15</v>
      </c>
      <c r="K183" s="36">
        <v>12</v>
      </c>
      <c r="L183" s="36">
        <v>10</v>
      </c>
      <c r="M183" s="36">
        <v>10</v>
      </c>
      <c r="N183" s="36">
        <v>10</v>
      </c>
      <c r="O183" s="36">
        <v>10</v>
      </c>
      <c r="P183" s="36" t="str">
        <f>IF($C183&gt;=(4*P$82),((($C183*P$84)+(2*P$85))*#REF!),"-")</f>
        <v>-</v>
      </c>
      <c r="Q183" s="36" t="str">
        <f t="shared" si="33"/>
        <v>-</v>
      </c>
      <c r="R183" s="36" t="str">
        <f t="shared" si="33"/>
        <v>-</v>
      </c>
      <c r="S183" s="36" t="str">
        <f t="shared" si="33"/>
        <v>-</v>
      </c>
      <c r="T183" s="36" t="str">
        <f t="shared" si="33"/>
        <v>-</v>
      </c>
      <c r="U183" s="36" t="str">
        <f t="shared" si="33"/>
        <v>-</v>
      </c>
      <c r="V183" s="36" t="str">
        <f t="shared" si="33"/>
        <v>-</v>
      </c>
      <c r="W183" s="36" t="s">
        <v>382</v>
      </c>
      <c r="X183" s="36" t="s">
        <v>382</v>
      </c>
      <c r="Y183" s="36" t="s">
        <v>382</v>
      </c>
      <c r="Z183" s="36" t="s">
        <v>382</v>
      </c>
    </row>
    <row r="184" spans="1:26" x14ac:dyDescent="0.55000000000000004">
      <c r="A184" s="83"/>
      <c r="B184" s="83"/>
      <c r="C184" s="15">
        <v>7</v>
      </c>
      <c r="D184" s="36">
        <f t="shared" si="29"/>
        <v>180</v>
      </c>
      <c r="E184" s="36">
        <f t="shared" si="29"/>
        <v>130</v>
      </c>
      <c r="F184" s="36">
        <f t="shared" si="31"/>
        <v>70</v>
      </c>
      <c r="G184" s="36">
        <f t="shared" si="31"/>
        <v>50</v>
      </c>
      <c r="H184" s="36">
        <f t="shared" si="31"/>
        <v>30</v>
      </c>
      <c r="I184" s="36">
        <f t="shared" si="31"/>
        <v>20</v>
      </c>
      <c r="J184" s="36">
        <v>15</v>
      </c>
      <c r="K184" s="36">
        <v>12</v>
      </c>
      <c r="L184" s="36">
        <v>10</v>
      </c>
      <c r="M184" s="36">
        <v>10</v>
      </c>
      <c r="N184" s="36">
        <v>10</v>
      </c>
      <c r="O184" s="36">
        <v>10</v>
      </c>
      <c r="P184" s="36">
        <v>10</v>
      </c>
      <c r="Q184" s="36" t="str">
        <f>IF($C184&gt;=(4*Q$82),((($C184*Q$84)+(2*Q$85))*#REF!),"-")</f>
        <v>-</v>
      </c>
      <c r="R184" s="36" t="str">
        <f>IF($C184&gt;=(4*R$82),((($C184*R$84)+(2*R$85))*#REF!),"-")</f>
        <v>-</v>
      </c>
      <c r="S184" s="36" t="str">
        <f>IF($C184&gt;=(4*S$82),((($C184*S$84)+(2*S$85))*#REF!),"-")</f>
        <v>-</v>
      </c>
      <c r="T184" s="36" t="str">
        <f>IF($C184&gt;=(4*T$82),((($C184*T$84)+(2*T$85))*#REF!),"-")</f>
        <v>-</v>
      </c>
      <c r="U184" s="36" t="str">
        <f>IF($C184&gt;=(4*U$82),((($C184*U$84)+(2*U$85))*#REF!),"-")</f>
        <v>-</v>
      </c>
      <c r="V184" s="36" t="s">
        <v>382</v>
      </c>
      <c r="W184" s="36" t="s">
        <v>382</v>
      </c>
      <c r="X184" s="36" t="s">
        <v>382</v>
      </c>
      <c r="Y184" s="36" t="s">
        <v>382</v>
      </c>
      <c r="Z184" s="36" t="s">
        <v>382</v>
      </c>
    </row>
    <row r="185" spans="1:26" x14ac:dyDescent="0.55000000000000004">
      <c r="A185" s="83"/>
      <c r="B185" s="83"/>
      <c r="C185" s="15">
        <v>7.25</v>
      </c>
      <c r="D185" s="36">
        <f t="shared" si="29"/>
        <v>180</v>
      </c>
      <c r="E185" s="36">
        <f t="shared" si="29"/>
        <v>130</v>
      </c>
      <c r="F185" s="36">
        <f t="shared" si="31"/>
        <v>70</v>
      </c>
      <c r="G185" s="36">
        <f t="shared" si="31"/>
        <v>50</v>
      </c>
      <c r="H185" s="36">
        <f t="shared" si="31"/>
        <v>30</v>
      </c>
      <c r="I185" s="36">
        <f t="shared" si="31"/>
        <v>20</v>
      </c>
      <c r="J185" s="36">
        <f t="shared" si="31"/>
        <v>10</v>
      </c>
      <c r="K185" s="36">
        <v>12</v>
      </c>
      <c r="L185" s="36">
        <v>10</v>
      </c>
      <c r="M185" s="36">
        <v>10</v>
      </c>
      <c r="N185" s="36">
        <v>10</v>
      </c>
      <c r="O185" s="36">
        <v>10</v>
      </c>
      <c r="P185" s="36">
        <v>10</v>
      </c>
      <c r="Q185" s="36" t="str">
        <f>IF($C185&gt;=(4*Q$82),((($C185*Q$84)+(2*Q$85))*#REF!),"-")</f>
        <v>-</v>
      </c>
      <c r="R185" s="36" t="str">
        <f>IF($C185&gt;=(4*R$82),((($C185*R$84)+(2*R$85))*#REF!),"-")</f>
        <v>-</v>
      </c>
      <c r="S185" s="36" t="str">
        <f>IF($C185&gt;=(4*S$82),((($C185*S$84)+(2*S$85))*#REF!),"-")</f>
        <v>-</v>
      </c>
      <c r="T185" s="36" t="str">
        <f>IF($C185&gt;=(4*T$82),((($C185*T$84)+(2*T$85))*#REF!),"-")</f>
        <v>-</v>
      </c>
      <c r="U185" s="36" t="str">
        <f>IF($C185&gt;=(4*U$82),((($C185*U$84)+(2*U$85))*#REF!),"-")</f>
        <v>-</v>
      </c>
      <c r="V185" s="36" t="s">
        <v>382</v>
      </c>
      <c r="W185" s="36" t="s">
        <v>382</v>
      </c>
      <c r="X185" s="36" t="s">
        <v>382</v>
      </c>
      <c r="Y185" s="36" t="s">
        <v>382</v>
      </c>
      <c r="Z185" s="36" t="s">
        <v>382</v>
      </c>
    </row>
    <row r="186" spans="1:26" x14ac:dyDescent="0.55000000000000004">
      <c r="A186" s="83"/>
      <c r="B186" s="83"/>
      <c r="C186" s="15">
        <v>7.5</v>
      </c>
      <c r="D186" s="36">
        <f t="shared" si="29"/>
        <v>170</v>
      </c>
      <c r="E186" s="36">
        <f t="shared" si="29"/>
        <v>120</v>
      </c>
      <c r="F186" s="36">
        <f t="shared" si="31"/>
        <v>70</v>
      </c>
      <c r="G186" s="36">
        <f t="shared" si="31"/>
        <v>50</v>
      </c>
      <c r="H186" s="36">
        <f t="shared" si="31"/>
        <v>30</v>
      </c>
      <c r="I186" s="36">
        <f t="shared" si="31"/>
        <v>20</v>
      </c>
      <c r="J186" s="36">
        <f t="shared" si="31"/>
        <v>10</v>
      </c>
      <c r="K186" s="36">
        <v>12</v>
      </c>
      <c r="L186" s="36">
        <v>10</v>
      </c>
      <c r="M186" s="36">
        <v>10</v>
      </c>
      <c r="N186" s="36">
        <v>10</v>
      </c>
      <c r="O186" s="36">
        <v>10</v>
      </c>
      <c r="P186" s="36">
        <v>10</v>
      </c>
      <c r="Q186" s="36">
        <v>10</v>
      </c>
      <c r="R186" s="36" t="str">
        <f>IF($C186&gt;=(4*R$82),((($C186*R$84)+(2*R$85))*#REF!),"-")</f>
        <v>-</v>
      </c>
      <c r="S186" s="36" t="str">
        <f>IF($C186&gt;=(4*S$82),((($C186*S$84)+(2*S$85))*#REF!),"-")</f>
        <v>-</v>
      </c>
      <c r="T186" s="36" t="str">
        <f>IF($C186&gt;=(4*T$82),((($C186*T$84)+(2*T$85))*#REF!),"-")</f>
        <v>-</v>
      </c>
      <c r="U186" s="36" t="str">
        <f>IF($C186&gt;=(4*U$82),((($C186*U$84)+(2*U$85))*#REF!),"-")</f>
        <v>-</v>
      </c>
      <c r="V186" s="36" t="str">
        <f>IF($C186&gt;=(4*V$82),((($C186*V$84)+(2*V$85))*#REF!),"-")</f>
        <v>-</v>
      </c>
      <c r="W186" s="36" t="s">
        <v>382</v>
      </c>
      <c r="X186" s="36" t="s">
        <v>382</v>
      </c>
      <c r="Y186" s="36" t="s">
        <v>382</v>
      </c>
      <c r="Z186" s="36" t="s">
        <v>382</v>
      </c>
    </row>
    <row r="187" spans="1:26" x14ac:dyDescent="0.55000000000000004">
      <c r="A187" s="83"/>
      <c r="B187" s="83"/>
      <c r="C187" s="15">
        <v>7.75</v>
      </c>
      <c r="D187" s="36">
        <f t="shared" si="29"/>
        <v>160</v>
      </c>
      <c r="E187" s="36">
        <f t="shared" si="29"/>
        <v>120</v>
      </c>
      <c r="F187" s="36">
        <f t="shared" si="31"/>
        <v>70</v>
      </c>
      <c r="G187" s="36">
        <f t="shared" si="31"/>
        <v>50</v>
      </c>
      <c r="H187" s="36">
        <f t="shared" si="31"/>
        <v>30</v>
      </c>
      <c r="I187" s="36">
        <f t="shared" si="31"/>
        <v>20</v>
      </c>
      <c r="J187" s="36">
        <f t="shared" si="31"/>
        <v>10</v>
      </c>
      <c r="K187" s="36">
        <v>12</v>
      </c>
      <c r="L187" s="36">
        <v>10</v>
      </c>
      <c r="M187" s="36">
        <v>10</v>
      </c>
      <c r="N187" s="36">
        <v>10</v>
      </c>
      <c r="O187" s="36">
        <v>10</v>
      </c>
      <c r="P187" s="36">
        <v>10</v>
      </c>
      <c r="Q187" s="36">
        <v>10</v>
      </c>
      <c r="R187" s="36" t="str">
        <f>IF($C187&gt;=(4*R$82),((($C187*R$84)+(2*R$85))*#REF!),"-")</f>
        <v>-</v>
      </c>
      <c r="S187" s="36" t="str">
        <f>IF($C187&gt;=(4*S$82),((($C187*S$84)+(2*S$85))*#REF!),"-")</f>
        <v>-</v>
      </c>
      <c r="T187" s="36" t="str">
        <f>IF($C187&gt;=(4*T$82),((($C187*T$84)+(2*T$85))*#REF!),"-")</f>
        <v>-</v>
      </c>
      <c r="U187" s="36" t="str">
        <f>IF($C187&gt;=(4*U$82),((($C187*U$84)+(2*U$85))*#REF!),"-")</f>
        <v>-</v>
      </c>
      <c r="V187" s="36" t="str">
        <f>IF($C187&gt;=(4*V$82),((($C187*V$84)+(2*V$85))*#REF!),"-")</f>
        <v>-</v>
      </c>
      <c r="W187" s="36" t="s">
        <v>382</v>
      </c>
      <c r="X187" s="36" t="s">
        <v>382</v>
      </c>
      <c r="Y187" s="36" t="s">
        <v>382</v>
      </c>
      <c r="Z187" s="36" t="s">
        <v>382</v>
      </c>
    </row>
    <row r="188" spans="1:26" x14ac:dyDescent="0.55000000000000004">
      <c r="A188" s="83"/>
      <c r="B188" s="83"/>
      <c r="C188" s="15">
        <v>8</v>
      </c>
      <c r="D188" s="36">
        <f t="shared" si="29"/>
        <v>160</v>
      </c>
      <c r="E188" s="36">
        <f t="shared" si="29"/>
        <v>110</v>
      </c>
      <c r="F188" s="36">
        <f t="shared" si="31"/>
        <v>70</v>
      </c>
      <c r="G188" s="36">
        <f t="shared" si="31"/>
        <v>50</v>
      </c>
      <c r="H188" s="36">
        <f t="shared" si="31"/>
        <v>30</v>
      </c>
      <c r="I188" s="36">
        <f t="shared" si="31"/>
        <v>20</v>
      </c>
      <c r="J188" s="36">
        <f t="shared" si="31"/>
        <v>10</v>
      </c>
      <c r="K188" s="36">
        <f t="shared" si="31"/>
        <v>10</v>
      </c>
      <c r="L188" s="36">
        <v>10</v>
      </c>
      <c r="M188" s="36">
        <v>10</v>
      </c>
      <c r="N188" s="36">
        <v>10</v>
      </c>
      <c r="O188" s="36">
        <v>10</v>
      </c>
      <c r="P188" s="36">
        <v>10</v>
      </c>
      <c r="Q188" s="36">
        <v>10</v>
      </c>
      <c r="R188" s="36">
        <v>10</v>
      </c>
      <c r="S188" s="36" t="str">
        <f>IF($C188&gt;=(4*S$82),((($C188*S$84)+(2*S$85))*#REF!),"-")</f>
        <v>-</v>
      </c>
      <c r="T188" s="36" t="str">
        <f>IF($C188&gt;=(4*T$82),((($C188*T$84)+(2*T$85))*#REF!),"-")</f>
        <v>-</v>
      </c>
      <c r="U188" s="36" t="str">
        <f>IF($C188&gt;=(4*U$82),((($C188*U$84)+(2*U$85))*#REF!),"-")</f>
        <v>-</v>
      </c>
      <c r="V188" s="36" t="str">
        <f>IF($C188&gt;=(4*V$82),((($C188*V$84)+(2*V$85))*#REF!),"-")</f>
        <v>-</v>
      </c>
      <c r="W188" s="36" t="str">
        <f>IF($C188&gt;=(4*W$82),((($C188*W$84)+(2*W$85))*#REF!),"-")</f>
        <v>-</v>
      </c>
      <c r="X188" s="36" t="s">
        <v>382</v>
      </c>
      <c r="Y188" s="36" t="s">
        <v>382</v>
      </c>
      <c r="Z188" s="36" t="s">
        <v>382</v>
      </c>
    </row>
    <row r="189" spans="1:26" x14ac:dyDescent="0.55000000000000004">
      <c r="A189" s="83"/>
      <c r="B189" s="83"/>
      <c r="C189" s="15">
        <v>8.25</v>
      </c>
      <c r="D189" s="36">
        <f t="shared" si="29"/>
        <v>150</v>
      </c>
      <c r="E189" s="36">
        <f t="shared" si="29"/>
        <v>110</v>
      </c>
      <c r="F189" s="36">
        <f t="shared" si="31"/>
        <v>60</v>
      </c>
      <c r="G189" s="36">
        <f t="shared" si="31"/>
        <v>50</v>
      </c>
      <c r="H189" s="36">
        <f t="shared" si="31"/>
        <v>30</v>
      </c>
      <c r="I189" s="36">
        <f t="shared" si="31"/>
        <v>20</v>
      </c>
      <c r="J189" s="36">
        <f t="shared" si="31"/>
        <v>10</v>
      </c>
      <c r="K189" s="36">
        <f t="shared" si="31"/>
        <v>10</v>
      </c>
      <c r="L189" s="36">
        <v>10</v>
      </c>
      <c r="M189" s="36">
        <v>10</v>
      </c>
      <c r="N189" s="36">
        <v>10</v>
      </c>
      <c r="O189" s="36">
        <v>10</v>
      </c>
      <c r="P189" s="36">
        <v>10</v>
      </c>
      <c r="Q189" s="36">
        <v>10</v>
      </c>
      <c r="R189" s="36">
        <v>10</v>
      </c>
      <c r="S189" s="36" t="str">
        <f>IF($C189&gt;=(4*S$82),((($C189*S$84)+(2*S$85))*#REF!),"-")</f>
        <v>-</v>
      </c>
      <c r="T189" s="36" t="str">
        <f>IF($C189&gt;=(4*T$82),((($C189*T$84)+(2*T$85))*#REF!),"-")</f>
        <v>-</v>
      </c>
      <c r="U189" s="36" t="str">
        <f>IF($C189&gt;=(4*U$82),((($C189*U$84)+(2*U$85))*#REF!),"-")</f>
        <v>-</v>
      </c>
      <c r="V189" s="36" t="str">
        <f>IF($C189&gt;=(4*V$82),((($C189*V$84)+(2*V$85))*#REF!),"-")</f>
        <v>-</v>
      </c>
      <c r="W189" s="36" t="str">
        <f>IF($C189&gt;=(4*W$82),((($C189*W$84)+(2*W$85))*#REF!),"-")</f>
        <v>-</v>
      </c>
      <c r="X189" s="36" t="s">
        <v>382</v>
      </c>
      <c r="Y189" s="36" t="s">
        <v>382</v>
      </c>
      <c r="Z189" s="36" t="s">
        <v>382</v>
      </c>
    </row>
    <row r="190" spans="1:26" x14ac:dyDescent="0.55000000000000004">
      <c r="A190" s="83"/>
      <c r="B190" s="83"/>
      <c r="C190" s="15">
        <v>8.5</v>
      </c>
      <c r="D190" s="36">
        <f t="shared" si="29"/>
        <v>150</v>
      </c>
      <c r="E190" s="36">
        <f t="shared" si="29"/>
        <v>110</v>
      </c>
      <c r="F190" s="36">
        <f t="shared" si="31"/>
        <v>60</v>
      </c>
      <c r="G190" s="36">
        <f t="shared" si="31"/>
        <v>50</v>
      </c>
      <c r="H190" s="36">
        <f t="shared" si="31"/>
        <v>30</v>
      </c>
      <c r="I190" s="36">
        <f t="shared" si="31"/>
        <v>20</v>
      </c>
      <c r="J190" s="36">
        <f t="shared" si="31"/>
        <v>10</v>
      </c>
      <c r="K190" s="36">
        <f t="shared" si="31"/>
        <v>10</v>
      </c>
      <c r="L190" s="36">
        <v>10</v>
      </c>
      <c r="M190" s="36">
        <v>10</v>
      </c>
      <c r="N190" s="36">
        <v>10</v>
      </c>
      <c r="O190" s="36">
        <v>10</v>
      </c>
      <c r="P190" s="36">
        <v>10</v>
      </c>
      <c r="Q190" s="36">
        <v>10</v>
      </c>
      <c r="R190" s="36">
        <v>10</v>
      </c>
      <c r="S190" s="36" t="s">
        <v>382</v>
      </c>
      <c r="T190" s="36" t="str">
        <f>IF($C190&gt;=(4*T$82),((($C190*T$84)+(2*T$85))*#REF!),"-")</f>
        <v>-</v>
      </c>
      <c r="U190" s="36" t="str">
        <f>IF($C190&gt;=(4*U$82),((($C190*U$84)+(2*U$85))*#REF!),"-")</f>
        <v>-</v>
      </c>
      <c r="V190" s="36" t="str">
        <f>IF($C190&gt;=(4*V$82),((($C190*V$84)+(2*V$85))*#REF!),"-")</f>
        <v>-</v>
      </c>
      <c r="W190" s="36" t="str">
        <f>IF($C190&gt;=(4*W$82),((($C190*W$84)+(2*W$85))*#REF!),"-")</f>
        <v>-</v>
      </c>
      <c r="X190" s="36" t="str">
        <f>IF($C190&gt;=(4*X$82),((($C190*X$84)+(2*X$85))*#REF!),"-")</f>
        <v>-</v>
      </c>
      <c r="Y190" s="36" t="s">
        <v>382</v>
      </c>
      <c r="Z190" s="36" t="s">
        <v>382</v>
      </c>
    </row>
    <row r="191" spans="1:26" x14ac:dyDescent="0.55000000000000004">
      <c r="A191" s="83"/>
      <c r="B191" s="83"/>
      <c r="C191" s="15">
        <v>8.75</v>
      </c>
      <c r="D191" s="36">
        <f t="shared" si="29"/>
        <v>150</v>
      </c>
      <c r="E191" s="36">
        <f t="shared" si="29"/>
        <v>100</v>
      </c>
      <c r="F191" s="36">
        <f t="shared" si="31"/>
        <v>60</v>
      </c>
      <c r="G191" s="36">
        <f t="shared" si="31"/>
        <v>50</v>
      </c>
      <c r="H191" s="36">
        <f t="shared" si="31"/>
        <v>30</v>
      </c>
      <c r="I191" s="36">
        <f t="shared" si="31"/>
        <v>20</v>
      </c>
      <c r="J191" s="36">
        <f t="shared" si="31"/>
        <v>10</v>
      </c>
      <c r="K191" s="36">
        <f t="shared" si="31"/>
        <v>10</v>
      </c>
      <c r="L191" s="36">
        <v>10</v>
      </c>
      <c r="M191" s="36">
        <v>10</v>
      </c>
      <c r="N191" s="36">
        <v>10</v>
      </c>
      <c r="O191" s="36">
        <v>10</v>
      </c>
      <c r="P191" s="36">
        <v>10</v>
      </c>
      <c r="Q191" s="36">
        <v>10</v>
      </c>
      <c r="R191" s="36">
        <v>10</v>
      </c>
      <c r="S191" s="36" t="s">
        <v>382</v>
      </c>
      <c r="T191" s="36" t="str">
        <f>IF($C191&gt;=(4*T$82),((($C191*T$84)+(2*T$85))*#REF!),"-")</f>
        <v>-</v>
      </c>
      <c r="U191" s="36" t="str">
        <f>IF($C191&gt;=(4*U$82),((($C191*U$84)+(2*U$85))*#REF!),"-")</f>
        <v>-</v>
      </c>
      <c r="V191" s="36" t="str">
        <f>IF($C191&gt;=(4*V$82),((($C191*V$84)+(2*V$85))*#REF!),"-")</f>
        <v>-</v>
      </c>
      <c r="W191" s="36" t="str">
        <f>IF($C191&gt;=(4*W$82),((($C191*W$84)+(2*W$85))*#REF!),"-")</f>
        <v>-</v>
      </c>
      <c r="X191" s="36" t="str">
        <f>IF($C191&gt;=(4*X$82),((($C191*X$84)+(2*X$85))*#REF!),"-")</f>
        <v>-</v>
      </c>
      <c r="Y191" s="36" t="s">
        <v>382</v>
      </c>
      <c r="Z191" s="36" t="s">
        <v>382</v>
      </c>
    </row>
    <row r="192" spans="1:26" x14ac:dyDescent="0.55000000000000004">
      <c r="A192" s="83"/>
      <c r="B192" s="83"/>
      <c r="C192" s="15">
        <v>9</v>
      </c>
      <c r="D192" s="36">
        <f t="shared" si="29"/>
        <v>140</v>
      </c>
      <c r="E192" s="36">
        <f t="shared" si="29"/>
        <v>100</v>
      </c>
      <c r="F192" s="36">
        <f t="shared" si="31"/>
        <v>60</v>
      </c>
      <c r="G192" s="36">
        <f t="shared" si="31"/>
        <v>40</v>
      </c>
      <c r="H192" s="36">
        <f t="shared" si="31"/>
        <v>30</v>
      </c>
      <c r="I192" s="36">
        <f t="shared" si="31"/>
        <v>20</v>
      </c>
      <c r="J192" s="36">
        <f t="shared" si="31"/>
        <v>10</v>
      </c>
      <c r="K192" s="36">
        <f t="shared" si="31"/>
        <v>10</v>
      </c>
      <c r="L192" s="36">
        <f t="shared" si="31"/>
        <v>10</v>
      </c>
      <c r="M192" s="36">
        <v>1</v>
      </c>
      <c r="N192" s="36">
        <v>1</v>
      </c>
      <c r="O192" s="36">
        <v>1</v>
      </c>
      <c r="P192" s="36">
        <v>1</v>
      </c>
      <c r="Q192" s="36">
        <v>1</v>
      </c>
      <c r="R192" s="36">
        <v>1</v>
      </c>
      <c r="S192" s="36">
        <v>1</v>
      </c>
      <c r="T192" s="36" t="str">
        <f t="shared" ref="T192:W199" si="34">IF($C192&gt;=(4*T$82),((($C192*T$84)+(2*T$85))*#REF!),"-")</f>
        <v>-</v>
      </c>
      <c r="U192" s="36" t="str">
        <f t="shared" si="34"/>
        <v>-</v>
      </c>
      <c r="V192" s="36" t="str">
        <f t="shared" si="34"/>
        <v>-</v>
      </c>
      <c r="W192" s="36" t="str">
        <f>IF($C192&gt;=(4*W$82),((($C192*W$84)+(2*W$85))*#REF!),"-")</f>
        <v>-</v>
      </c>
      <c r="X192" s="36" t="str">
        <f>IF($C192&gt;=(4*X$82),((($C192*X$84)+(2*X$85))*#REF!),"-")</f>
        <v>-</v>
      </c>
      <c r="Y192" s="36" t="str">
        <f>IF($C192&gt;=(4*Y$82),((($C192*Y$84)+(2*Y$85))*#REF!),"-")</f>
        <v>-</v>
      </c>
      <c r="Z192" s="36" t="s">
        <v>382</v>
      </c>
    </row>
    <row r="193" spans="1:26" x14ac:dyDescent="0.55000000000000004">
      <c r="A193" s="83"/>
      <c r="B193" s="83"/>
      <c r="C193" s="15">
        <v>9.25</v>
      </c>
      <c r="D193" s="36">
        <f t="shared" si="29"/>
        <v>140</v>
      </c>
      <c r="E193" s="36">
        <f t="shared" si="29"/>
        <v>100</v>
      </c>
      <c r="F193" s="36">
        <f t="shared" si="31"/>
        <v>60</v>
      </c>
      <c r="G193" s="36">
        <f t="shared" si="31"/>
        <v>40</v>
      </c>
      <c r="H193" s="36">
        <f t="shared" si="31"/>
        <v>30</v>
      </c>
      <c r="I193" s="36">
        <f t="shared" si="31"/>
        <v>20</v>
      </c>
      <c r="J193" s="36">
        <f t="shared" si="31"/>
        <v>10</v>
      </c>
      <c r="K193" s="36">
        <f t="shared" si="31"/>
        <v>10</v>
      </c>
      <c r="L193" s="36">
        <v>1</v>
      </c>
      <c r="M193" s="36">
        <v>1</v>
      </c>
      <c r="N193" s="36">
        <v>1</v>
      </c>
      <c r="O193" s="36">
        <v>1</v>
      </c>
      <c r="P193" s="36">
        <v>1</v>
      </c>
      <c r="Q193" s="36">
        <v>1</v>
      </c>
      <c r="R193" s="36">
        <v>1</v>
      </c>
      <c r="S193" s="36">
        <v>1</v>
      </c>
      <c r="T193" s="36" t="str">
        <f t="shared" si="34"/>
        <v>-</v>
      </c>
      <c r="U193" s="36" t="str">
        <f t="shared" si="34"/>
        <v>-</v>
      </c>
      <c r="V193" s="36" t="str">
        <f t="shared" si="34"/>
        <v>-</v>
      </c>
      <c r="W193" s="36" t="str">
        <f>IF($C193&gt;=(4*W$82),((($C193*W$84)+(2*W$85))*#REF!),"-")</f>
        <v>-</v>
      </c>
      <c r="X193" s="36" t="str">
        <f>IF($C193&gt;=(4*X$82),((($C193*X$84)+(2*X$85))*#REF!),"-")</f>
        <v>-</v>
      </c>
      <c r="Y193" s="36" t="str">
        <f>IF($C193&gt;=(4*Y$82),((($C193*Y$84)+(2*Y$85))*#REF!),"-")</f>
        <v>-</v>
      </c>
      <c r="Z193" s="36" t="s">
        <v>382</v>
      </c>
    </row>
    <row r="194" spans="1:26" x14ac:dyDescent="0.55000000000000004">
      <c r="A194" s="83"/>
      <c r="B194" s="83"/>
      <c r="C194" s="15">
        <v>9.5</v>
      </c>
      <c r="D194" s="36">
        <f t="shared" si="29"/>
        <v>130</v>
      </c>
      <c r="E194" s="36">
        <f t="shared" si="29"/>
        <v>100</v>
      </c>
      <c r="F194" s="36">
        <f t="shared" si="31"/>
        <v>60</v>
      </c>
      <c r="G194" s="36">
        <f t="shared" si="31"/>
        <v>40</v>
      </c>
      <c r="H194" s="36">
        <f t="shared" si="31"/>
        <v>30</v>
      </c>
      <c r="I194" s="36">
        <f t="shared" si="31"/>
        <v>20</v>
      </c>
      <c r="J194" s="36">
        <f t="shared" si="31"/>
        <v>10</v>
      </c>
      <c r="K194" s="36">
        <f t="shared" si="31"/>
        <v>10</v>
      </c>
      <c r="L194" s="36">
        <v>1</v>
      </c>
      <c r="M194" s="36">
        <v>1</v>
      </c>
      <c r="N194" s="36">
        <v>1</v>
      </c>
      <c r="O194" s="36">
        <v>1</v>
      </c>
      <c r="P194" s="36">
        <v>1</v>
      </c>
      <c r="Q194" s="36">
        <v>1</v>
      </c>
      <c r="R194" s="36">
        <v>1</v>
      </c>
      <c r="S194" s="36">
        <v>1</v>
      </c>
      <c r="T194" s="36" t="str">
        <f t="shared" si="34"/>
        <v>-</v>
      </c>
      <c r="U194" s="36" t="str">
        <f t="shared" si="34"/>
        <v>-</v>
      </c>
      <c r="V194" s="36" t="str">
        <f t="shared" si="34"/>
        <v>-</v>
      </c>
      <c r="W194" s="36" t="s">
        <v>382</v>
      </c>
      <c r="X194" s="36" t="s">
        <v>382</v>
      </c>
      <c r="Y194" s="36" t="s">
        <v>382</v>
      </c>
      <c r="Z194" s="36" t="s">
        <v>382</v>
      </c>
    </row>
    <row r="195" spans="1:26" x14ac:dyDescent="0.55000000000000004">
      <c r="A195" s="83"/>
      <c r="B195" s="83"/>
      <c r="C195" s="15">
        <v>9.75</v>
      </c>
      <c r="D195" s="36">
        <f t="shared" si="29"/>
        <v>130</v>
      </c>
      <c r="E195" s="36">
        <f t="shared" si="29"/>
        <v>90</v>
      </c>
      <c r="F195" s="36">
        <f t="shared" si="31"/>
        <v>60</v>
      </c>
      <c r="G195" s="36">
        <f t="shared" si="31"/>
        <v>40</v>
      </c>
      <c r="H195" s="36">
        <f t="shared" si="31"/>
        <v>30</v>
      </c>
      <c r="I195" s="36">
        <f t="shared" si="31"/>
        <v>20</v>
      </c>
      <c r="J195" s="36">
        <f t="shared" si="31"/>
        <v>10</v>
      </c>
      <c r="K195" s="36">
        <f t="shared" si="31"/>
        <v>10</v>
      </c>
      <c r="L195" s="36">
        <v>1</v>
      </c>
      <c r="M195" s="36">
        <v>1</v>
      </c>
      <c r="N195" s="36">
        <v>1</v>
      </c>
      <c r="O195" s="36">
        <v>1</v>
      </c>
      <c r="P195" s="36">
        <v>1</v>
      </c>
      <c r="Q195" s="36">
        <v>1</v>
      </c>
      <c r="R195" s="36">
        <v>1</v>
      </c>
      <c r="S195" s="36">
        <v>1</v>
      </c>
      <c r="T195" s="36" t="str">
        <f t="shared" si="34"/>
        <v>-</v>
      </c>
      <c r="U195" s="36" t="str">
        <f t="shared" si="34"/>
        <v>-</v>
      </c>
      <c r="V195" s="36" t="str">
        <f t="shared" si="34"/>
        <v>-</v>
      </c>
      <c r="W195" s="36" t="s">
        <v>382</v>
      </c>
      <c r="X195" s="36" t="s">
        <v>382</v>
      </c>
      <c r="Y195" s="36" t="s">
        <v>382</v>
      </c>
      <c r="Z195" s="36" t="s">
        <v>382</v>
      </c>
    </row>
    <row r="196" spans="1:26" x14ac:dyDescent="0.55000000000000004">
      <c r="A196" s="83"/>
      <c r="B196" s="83"/>
      <c r="C196" s="15">
        <v>10</v>
      </c>
      <c r="D196" s="36">
        <f t="shared" si="29"/>
        <v>130</v>
      </c>
      <c r="E196" s="36">
        <f t="shared" si="29"/>
        <v>90</v>
      </c>
      <c r="F196" s="36">
        <f t="shared" si="31"/>
        <v>60</v>
      </c>
      <c r="G196" s="36">
        <f t="shared" si="31"/>
        <v>40</v>
      </c>
      <c r="H196" s="36">
        <f t="shared" si="31"/>
        <v>30</v>
      </c>
      <c r="I196" s="36">
        <f t="shared" si="31"/>
        <v>20</v>
      </c>
      <c r="J196" s="36">
        <f t="shared" si="31"/>
        <v>10</v>
      </c>
      <c r="K196" s="36">
        <f t="shared" si="31"/>
        <v>10</v>
      </c>
      <c r="L196" s="36">
        <v>1</v>
      </c>
      <c r="M196" s="36">
        <v>1</v>
      </c>
      <c r="N196" s="36">
        <v>1</v>
      </c>
      <c r="O196" s="36">
        <v>1</v>
      </c>
      <c r="P196" s="36">
        <v>1</v>
      </c>
      <c r="Q196" s="36">
        <v>1</v>
      </c>
      <c r="R196" s="36">
        <v>1</v>
      </c>
      <c r="S196" s="36">
        <v>1</v>
      </c>
      <c r="T196" s="36">
        <v>1</v>
      </c>
      <c r="U196" s="36" t="str">
        <f t="shared" si="34"/>
        <v>-</v>
      </c>
      <c r="V196" s="36" t="str">
        <f t="shared" si="34"/>
        <v>-</v>
      </c>
      <c r="W196" s="36" t="str">
        <f t="shared" si="34"/>
        <v>-</v>
      </c>
      <c r="X196" s="36" t="s">
        <v>382</v>
      </c>
      <c r="Y196" s="36" t="s">
        <v>382</v>
      </c>
      <c r="Z196" s="36" t="s">
        <v>382</v>
      </c>
    </row>
    <row r="197" spans="1:26" x14ac:dyDescent="0.55000000000000004">
      <c r="A197" s="83"/>
      <c r="B197" s="83"/>
      <c r="C197" s="15">
        <v>10.25</v>
      </c>
      <c r="D197" s="36">
        <f t="shared" si="29"/>
        <v>120</v>
      </c>
      <c r="E197" s="36">
        <f t="shared" si="29"/>
        <v>90</v>
      </c>
      <c r="F197" s="36">
        <f t="shared" si="31"/>
        <v>50</v>
      </c>
      <c r="G197" s="36">
        <f t="shared" si="31"/>
        <v>40</v>
      </c>
      <c r="H197" s="36">
        <f t="shared" si="31"/>
        <v>20</v>
      </c>
      <c r="I197" s="36">
        <f t="shared" si="31"/>
        <v>20</v>
      </c>
      <c r="J197" s="36">
        <f t="shared" si="31"/>
        <v>10</v>
      </c>
      <c r="K197" s="36">
        <f t="shared" si="31"/>
        <v>10</v>
      </c>
      <c r="L197" s="36">
        <v>1</v>
      </c>
      <c r="M197" s="36">
        <v>1</v>
      </c>
      <c r="N197" s="36">
        <v>1</v>
      </c>
      <c r="O197" s="36">
        <v>1</v>
      </c>
      <c r="P197" s="36">
        <v>1</v>
      </c>
      <c r="Q197" s="36">
        <v>1</v>
      </c>
      <c r="R197" s="36">
        <v>1</v>
      </c>
      <c r="S197" s="36">
        <v>1</v>
      </c>
      <c r="T197" s="36">
        <v>1</v>
      </c>
      <c r="U197" s="36" t="str">
        <f t="shared" si="34"/>
        <v>-</v>
      </c>
      <c r="V197" s="36" t="str">
        <f t="shared" si="34"/>
        <v>-</v>
      </c>
      <c r="W197" s="36" t="str">
        <f t="shared" si="34"/>
        <v>-</v>
      </c>
      <c r="X197" s="36" t="s">
        <v>382</v>
      </c>
      <c r="Y197" s="36" t="s">
        <v>382</v>
      </c>
      <c r="Z197" s="36" t="s">
        <v>382</v>
      </c>
    </row>
    <row r="198" spans="1:26" x14ac:dyDescent="0.55000000000000004">
      <c r="A198" s="83"/>
      <c r="B198" s="83"/>
      <c r="C198" s="15">
        <v>10.5</v>
      </c>
      <c r="D198" s="36">
        <f t="shared" si="29"/>
        <v>120</v>
      </c>
      <c r="E198" s="36">
        <f t="shared" si="29"/>
        <v>90</v>
      </c>
      <c r="F198" s="36">
        <f t="shared" si="31"/>
        <v>50</v>
      </c>
      <c r="G198" s="36">
        <f t="shared" si="31"/>
        <v>40</v>
      </c>
      <c r="H198" s="36">
        <f t="shared" si="31"/>
        <v>20</v>
      </c>
      <c r="I198" s="36">
        <f t="shared" si="31"/>
        <v>20</v>
      </c>
      <c r="J198" s="36">
        <f t="shared" si="31"/>
        <v>10</v>
      </c>
      <c r="K198" s="36">
        <f t="shared" si="31"/>
        <v>10</v>
      </c>
      <c r="L198" s="36">
        <v>1</v>
      </c>
      <c r="M198" s="36">
        <v>1</v>
      </c>
      <c r="N198" s="36">
        <v>1</v>
      </c>
      <c r="O198" s="36">
        <v>1</v>
      </c>
      <c r="P198" s="36">
        <v>1</v>
      </c>
      <c r="Q198" s="36">
        <v>1</v>
      </c>
      <c r="R198" s="36">
        <v>1</v>
      </c>
      <c r="S198" s="36">
        <v>1</v>
      </c>
      <c r="T198" s="36">
        <v>1</v>
      </c>
      <c r="U198" s="36" t="str">
        <f t="shared" si="34"/>
        <v>-</v>
      </c>
      <c r="V198" s="36" t="str">
        <f t="shared" si="34"/>
        <v>-</v>
      </c>
      <c r="W198" s="36" t="str">
        <f t="shared" si="34"/>
        <v>-</v>
      </c>
      <c r="X198" s="36" t="s">
        <v>382</v>
      </c>
      <c r="Y198" s="36" t="s">
        <v>382</v>
      </c>
      <c r="Z198" s="36" t="s">
        <v>382</v>
      </c>
    </row>
    <row r="199" spans="1:26" x14ac:dyDescent="0.55000000000000004">
      <c r="A199" s="83"/>
      <c r="B199" s="83"/>
      <c r="C199" s="15">
        <v>10.75</v>
      </c>
      <c r="D199" s="36">
        <f t="shared" si="29"/>
        <v>120</v>
      </c>
      <c r="E199" s="36">
        <f t="shared" si="29"/>
        <v>80</v>
      </c>
      <c r="F199" s="36">
        <f t="shared" si="31"/>
        <v>50</v>
      </c>
      <c r="G199" s="36">
        <f t="shared" si="31"/>
        <v>40</v>
      </c>
      <c r="H199" s="36">
        <f t="shared" si="31"/>
        <v>20</v>
      </c>
      <c r="I199" s="36">
        <f t="shared" si="31"/>
        <v>20</v>
      </c>
      <c r="J199" s="36">
        <f t="shared" si="31"/>
        <v>10</v>
      </c>
      <c r="K199" s="36">
        <f t="shared" si="31"/>
        <v>10</v>
      </c>
      <c r="L199" s="36">
        <v>1</v>
      </c>
      <c r="M199" s="36">
        <v>1</v>
      </c>
      <c r="N199" s="36">
        <v>1</v>
      </c>
      <c r="O199" s="36">
        <v>1</v>
      </c>
      <c r="P199" s="36">
        <v>1</v>
      </c>
      <c r="Q199" s="36">
        <v>1</v>
      </c>
      <c r="R199" s="36">
        <v>1</v>
      </c>
      <c r="S199" s="36">
        <v>1</v>
      </c>
      <c r="T199" s="36">
        <v>1</v>
      </c>
      <c r="U199" s="36" t="str">
        <f t="shared" si="34"/>
        <v>-</v>
      </c>
      <c r="V199" s="36" t="str">
        <f t="shared" si="34"/>
        <v>-</v>
      </c>
      <c r="W199" s="36" t="str">
        <f t="shared" si="34"/>
        <v>-</v>
      </c>
      <c r="X199" s="36" t="s">
        <v>382</v>
      </c>
      <c r="Y199" s="36" t="s">
        <v>382</v>
      </c>
      <c r="Z199" s="36" t="s">
        <v>382</v>
      </c>
    </row>
    <row r="200" spans="1:26" x14ac:dyDescent="0.55000000000000004">
      <c r="A200" s="83"/>
      <c r="B200" s="83"/>
      <c r="C200" s="15">
        <v>11</v>
      </c>
      <c r="D200" s="36">
        <f t="shared" si="29"/>
        <v>110</v>
      </c>
      <c r="E200" s="36">
        <f t="shared" si="29"/>
        <v>80</v>
      </c>
      <c r="F200" s="36">
        <f t="shared" si="31"/>
        <v>50</v>
      </c>
      <c r="G200" s="36">
        <f t="shared" si="31"/>
        <v>40</v>
      </c>
      <c r="H200" s="36">
        <f t="shared" si="31"/>
        <v>20</v>
      </c>
      <c r="I200" s="36">
        <f t="shared" si="31"/>
        <v>10</v>
      </c>
      <c r="J200" s="36">
        <f t="shared" si="31"/>
        <v>10</v>
      </c>
      <c r="K200" s="36">
        <f t="shared" si="31"/>
        <v>10</v>
      </c>
      <c r="L200" s="36">
        <v>1</v>
      </c>
      <c r="M200" s="36">
        <v>1</v>
      </c>
      <c r="N200" s="36">
        <v>1</v>
      </c>
      <c r="O200" s="36">
        <v>1</v>
      </c>
      <c r="P200" s="36">
        <v>1</v>
      </c>
      <c r="Q200" s="36">
        <v>1</v>
      </c>
      <c r="R200" s="36">
        <v>1</v>
      </c>
      <c r="S200" s="36">
        <v>1</v>
      </c>
      <c r="T200" s="36">
        <v>1</v>
      </c>
      <c r="U200" s="36">
        <v>1</v>
      </c>
      <c r="V200" s="36" t="s">
        <v>382</v>
      </c>
      <c r="W200" s="36" t="s">
        <v>382</v>
      </c>
      <c r="X200" s="36" t="s">
        <v>382</v>
      </c>
      <c r="Y200" s="36" t="s">
        <v>382</v>
      </c>
      <c r="Z200" s="36" t="s">
        <v>382</v>
      </c>
    </row>
    <row r="201" spans="1:26" x14ac:dyDescent="0.55000000000000004">
      <c r="A201" s="83"/>
      <c r="B201" s="83"/>
      <c r="C201" s="15">
        <v>11.25</v>
      </c>
      <c r="D201" s="36">
        <f t="shared" si="29"/>
        <v>110</v>
      </c>
      <c r="E201" s="36">
        <f t="shared" si="29"/>
        <v>80</v>
      </c>
      <c r="F201" s="36">
        <f t="shared" ref="F201:K201" si="35">(ROUNDDOWN((IF(((F$6*$C201+2*F$7)*(ROUNDDOWN($AC$2/F$2,0)*ROUNDDOWN($AC$3/F$3,0)*ROUNDDOWN($AC$4/$C201,0)))&lt;=20,((F$6*$C201+2*F$7)*(ROUNDDOWN($AC$2/F$2,0)*ROUNDDOWN($AC$3/F$3,0)*ROUNDDOWN($AC$4/$C201,0))),20/(F$6*$C201+2*F$7)))/10,0))*10</f>
        <v>50</v>
      </c>
      <c r="G201" s="36">
        <f t="shared" si="35"/>
        <v>40</v>
      </c>
      <c r="H201" s="36">
        <f t="shared" si="35"/>
        <v>20</v>
      </c>
      <c r="I201" s="36">
        <f t="shared" si="35"/>
        <v>10</v>
      </c>
      <c r="J201" s="36">
        <f t="shared" si="35"/>
        <v>10</v>
      </c>
      <c r="K201" s="36">
        <f t="shared" si="35"/>
        <v>10</v>
      </c>
      <c r="L201" s="36">
        <v>1</v>
      </c>
      <c r="M201" s="36">
        <v>1</v>
      </c>
      <c r="N201" s="36">
        <v>1</v>
      </c>
      <c r="O201" s="36">
        <v>1</v>
      </c>
      <c r="P201" s="36">
        <v>1</v>
      </c>
      <c r="Q201" s="36">
        <v>1</v>
      </c>
      <c r="R201" s="36">
        <v>1</v>
      </c>
      <c r="S201" s="36">
        <v>1</v>
      </c>
      <c r="T201" s="36">
        <v>1</v>
      </c>
      <c r="U201" s="36">
        <v>1</v>
      </c>
      <c r="V201" s="36" t="s">
        <v>382</v>
      </c>
      <c r="W201" s="36" t="s">
        <v>382</v>
      </c>
      <c r="X201" s="36" t="s">
        <v>382</v>
      </c>
      <c r="Y201" s="36" t="s">
        <v>382</v>
      </c>
      <c r="Z201" s="36" t="s">
        <v>382</v>
      </c>
    </row>
    <row r="202" spans="1:26" x14ac:dyDescent="0.55000000000000004">
      <c r="A202" s="83"/>
      <c r="B202" s="83"/>
      <c r="C202" s="15">
        <v>11.5</v>
      </c>
      <c r="D202" s="36">
        <v>1</v>
      </c>
      <c r="E202" s="36">
        <v>1</v>
      </c>
      <c r="F202" s="36">
        <v>1</v>
      </c>
      <c r="G202" s="36">
        <v>1</v>
      </c>
      <c r="H202" s="36">
        <v>1</v>
      </c>
      <c r="I202" s="36">
        <v>1</v>
      </c>
      <c r="J202" s="36">
        <v>1</v>
      </c>
      <c r="K202" s="36">
        <v>1</v>
      </c>
      <c r="L202" s="36">
        <v>1</v>
      </c>
      <c r="M202" s="36">
        <v>1</v>
      </c>
      <c r="N202" s="36">
        <v>1</v>
      </c>
      <c r="O202" s="36">
        <v>1</v>
      </c>
      <c r="P202" s="36">
        <v>1</v>
      </c>
      <c r="Q202" s="36">
        <v>1</v>
      </c>
      <c r="R202" s="36">
        <v>1</v>
      </c>
      <c r="S202" s="36">
        <v>1</v>
      </c>
      <c r="T202" s="36">
        <v>1</v>
      </c>
      <c r="U202" s="36">
        <v>1</v>
      </c>
      <c r="V202" s="36" t="s">
        <v>382</v>
      </c>
      <c r="W202" s="36" t="s">
        <v>382</v>
      </c>
      <c r="X202" s="36" t="s">
        <v>382</v>
      </c>
      <c r="Y202" s="36" t="s">
        <v>382</v>
      </c>
      <c r="Z202" s="36" t="s">
        <v>382</v>
      </c>
    </row>
    <row r="203" spans="1:26" x14ac:dyDescent="0.55000000000000004">
      <c r="A203" s="83"/>
      <c r="B203" s="83"/>
      <c r="C203" s="15">
        <v>11.75</v>
      </c>
      <c r="D203" s="36">
        <v>1</v>
      </c>
      <c r="E203" s="36">
        <v>1</v>
      </c>
      <c r="F203" s="36">
        <v>1</v>
      </c>
      <c r="G203" s="36">
        <v>1</v>
      </c>
      <c r="H203" s="36">
        <v>1</v>
      </c>
      <c r="I203" s="36">
        <v>1</v>
      </c>
      <c r="J203" s="36">
        <v>1</v>
      </c>
      <c r="K203" s="36">
        <v>1</v>
      </c>
      <c r="L203" s="36">
        <v>1</v>
      </c>
      <c r="M203" s="36">
        <v>1</v>
      </c>
      <c r="N203" s="36">
        <v>1</v>
      </c>
      <c r="O203" s="36">
        <v>1</v>
      </c>
      <c r="P203" s="36">
        <v>1</v>
      </c>
      <c r="Q203" s="36">
        <v>1</v>
      </c>
      <c r="R203" s="36">
        <v>1</v>
      </c>
      <c r="S203" s="36">
        <v>1</v>
      </c>
      <c r="T203" s="36">
        <v>1</v>
      </c>
      <c r="U203" s="36">
        <v>1</v>
      </c>
      <c r="V203" s="36" t="s">
        <v>382</v>
      </c>
      <c r="W203" s="36" t="s">
        <v>382</v>
      </c>
      <c r="X203" s="36" t="s">
        <v>382</v>
      </c>
      <c r="Y203" s="36" t="s">
        <v>382</v>
      </c>
      <c r="Z203" s="36" t="s">
        <v>382</v>
      </c>
    </row>
    <row r="204" spans="1:26" x14ac:dyDescent="0.55000000000000004">
      <c r="A204" s="83"/>
      <c r="B204" s="83"/>
      <c r="C204" s="15">
        <v>12</v>
      </c>
      <c r="D204" s="36">
        <v>1</v>
      </c>
      <c r="E204" s="36">
        <v>1</v>
      </c>
      <c r="F204" s="36">
        <v>1</v>
      </c>
      <c r="G204" s="36">
        <v>1</v>
      </c>
      <c r="H204" s="36">
        <v>1</v>
      </c>
      <c r="I204" s="36">
        <v>1</v>
      </c>
      <c r="J204" s="36">
        <v>1</v>
      </c>
      <c r="K204" s="36">
        <v>1</v>
      </c>
      <c r="L204" s="36">
        <v>1</v>
      </c>
      <c r="M204" s="36">
        <v>1</v>
      </c>
      <c r="N204" s="36">
        <v>1</v>
      </c>
      <c r="O204" s="36">
        <v>1</v>
      </c>
      <c r="P204" s="36">
        <v>1</v>
      </c>
      <c r="Q204" s="36">
        <v>1</v>
      </c>
      <c r="R204" s="36">
        <v>1</v>
      </c>
      <c r="S204" s="36">
        <v>1</v>
      </c>
      <c r="T204" s="36">
        <v>1</v>
      </c>
      <c r="U204" s="36">
        <v>1</v>
      </c>
      <c r="V204" s="36">
        <v>1</v>
      </c>
      <c r="W204" s="36" t="s">
        <v>382</v>
      </c>
      <c r="X204" s="36" t="s">
        <v>382</v>
      </c>
      <c r="Y204" s="36" t="s">
        <v>382</v>
      </c>
      <c r="Z204" s="36" t="s">
        <v>382</v>
      </c>
    </row>
    <row r="205" spans="1:26" x14ac:dyDescent="0.55000000000000004">
      <c r="A205" s="83"/>
      <c r="B205" s="83"/>
      <c r="C205" s="15">
        <v>12.25</v>
      </c>
      <c r="D205" s="36">
        <v>1</v>
      </c>
      <c r="E205" s="36">
        <v>1</v>
      </c>
      <c r="F205" s="36">
        <v>1</v>
      </c>
      <c r="G205" s="36">
        <v>1</v>
      </c>
      <c r="H205" s="36">
        <v>1</v>
      </c>
      <c r="I205" s="36">
        <v>1</v>
      </c>
      <c r="J205" s="36">
        <v>1</v>
      </c>
      <c r="K205" s="36">
        <v>1</v>
      </c>
      <c r="L205" s="36">
        <v>1</v>
      </c>
      <c r="M205" s="36">
        <v>1</v>
      </c>
      <c r="N205" s="36">
        <v>1</v>
      </c>
      <c r="O205" s="36">
        <v>1</v>
      </c>
      <c r="P205" s="36">
        <v>1</v>
      </c>
      <c r="Q205" s="36">
        <v>1</v>
      </c>
      <c r="R205" s="36">
        <v>1</v>
      </c>
      <c r="S205" s="36">
        <v>1</v>
      </c>
      <c r="T205" s="36">
        <v>1</v>
      </c>
      <c r="U205" s="36">
        <v>1</v>
      </c>
      <c r="V205" s="36">
        <v>1</v>
      </c>
      <c r="W205" s="36" t="s">
        <v>382</v>
      </c>
      <c r="X205" s="36" t="s">
        <v>382</v>
      </c>
      <c r="Y205" s="36" t="s">
        <v>382</v>
      </c>
      <c r="Z205" s="36" t="s">
        <v>382</v>
      </c>
    </row>
    <row r="206" spans="1:26" x14ac:dyDescent="0.55000000000000004">
      <c r="A206" s="83"/>
      <c r="B206" s="83"/>
      <c r="C206" s="15">
        <v>12.5</v>
      </c>
      <c r="D206" s="36">
        <v>1</v>
      </c>
      <c r="E206" s="36">
        <v>1</v>
      </c>
      <c r="F206" s="36">
        <v>1</v>
      </c>
      <c r="G206" s="36">
        <v>1</v>
      </c>
      <c r="H206" s="36">
        <v>1</v>
      </c>
      <c r="I206" s="36">
        <v>1</v>
      </c>
      <c r="J206" s="36">
        <v>1</v>
      </c>
      <c r="K206" s="36">
        <v>1</v>
      </c>
      <c r="L206" s="36">
        <v>1</v>
      </c>
      <c r="M206" s="36">
        <v>1</v>
      </c>
      <c r="N206" s="36">
        <v>1</v>
      </c>
      <c r="O206" s="36">
        <v>1</v>
      </c>
      <c r="P206" s="36">
        <v>1</v>
      </c>
      <c r="Q206" s="36">
        <v>1</v>
      </c>
      <c r="R206" s="36">
        <v>1</v>
      </c>
      <c r="S206" s="36">
        <v>1</v>
      </c>
      <c r="T206" s="36">
        <v>1</v>
      </c>
      <c r="U206" s="36">
        <v>1</v>
      </c>
      <c r="V206" s="36">
        <v>1</v>
      </c>
      <c r="W206" s="36" t="s">
        <v>382</v>
      </c>
      <c r="X206" s="36" t="s">
        <v>382</v>
      </c>
      <c r="Y206" s="36" t="s">
        <v>382</v>
      </c>
      <c r="Z206" s="36" t="s">
        <v>382</v>
      </c>
    </row>
    <row r="207" spans="1:26" x14ac:dyDescent="0.55000000000000004">
      <c r="A207" s="83"/>
      <c r="B207" s="83"/>
      <c r="C207" s="15">
        <v>12.75</v>
      </c>
      <c r="D207" s="36">
        <v>1</v>
      </c>
      <c r="E207" s="36">
        <v>1</v>
      </c>
      <c r="F207" s="36">
        <v>1</v>
      </c>
      <c r="G207" s="36">
        <v>1</v>
      </c>
      <c r="H207" s="36">
        <v>1</v>
      </c>
      <c r="I207" s="36">
        <v>1</v>
      </c>
      <c r="J207" s="36">
        <v>1</v>
      </c>
      <c r="K207" s="36">
        <v>1</v>
      </c>
      <c r="L207" s="36">
        <v>1</v>
      </c>
      <c r="M207" s="36">
        <v>1</v>
      </c>
      <c r="N207" s="36">
        <v>1</v>
      </c>
      <c r="O207" s="36">
        <v>1</v>
      </c>
      <c r="P207" s="36">
        <v>1</v>
      </c>
      <c r="Q207" s="36">
        <v>1</v>
      </c>
      <c r="R207" s="36">
        <v>1</v>
      </c>
      <c r="S207" s="36">
        <v>1</v>
      </c>
      <c r="T207" s="36">
        <v>1</v>
      </c>
      <c r="U207" s="36">
        <v>1</v>
      </c>
      <c r="V207" s="36">
        <v>1</v>
      </c>
      <c r="W207" s="36" t="s">
        <v>382</v>
      </c>
      <c r="X207" s="36" t="s">
        <v>382</v>
      </c>
      <c r="Y207" s="36" t="s">
        <v>382</v>
      </c>
      <c r="Z207" s="36" t="s">
        <v>382</v>
      </c>
    </row>
    <row r="208" spans="1:26" x14ac:dyDescent="0.55000000000000004">
      <c r="A208" s="83"/>
      <c r="B208" s="83"/>
      <c r="C208" s="15">
        <v>13</v>
      </c>
      <c r="D208" s="36">
        <v>1</v>
      </c>
      <c r="E208" s="36">
        <v>1</v>
      </c>
      <c r="F208" s="36">
        <v>1</v>
      </c>
      <c r="G208" s="36">
        <v>1</v>
      </c>
      <c r="H208" s="36">
        <v>1</v>
      </c>
      <c r="I208" s="36">
        <v>1</v>
      </c>
      <c r="J208" s="36">
        <v>1</v>
      </c>
      <c r="K208" s="36">
        <v>1</v>
      </c>
      <c r="L208" s="36">
        <v>1</v>
      </c>
      <c r="M208" s="36">
        <v>1</v>
      </c>
      <c r="N208" s="36">
        <v>1</v>
      </c>
      <c r="O208" s="36">
        <v>1</v>
      </c>
      <c r="P208" s="36">
        <v>1</v>
      </c>
      <c r="Q208" s="36">
        <v>1</v>
      </c>
      <c r="R208" s="36">
        <v>1</v>
      </c>
      <c r="S208" s="36">
        <v>1</v>
      </c>
      <c r="T208" s="36">
        <v>1</v>
      </c>
      <c r="U208" s="36">
        <v>1</v>
      </c>
      <c r="V208" s="36">
        <v>1</v>
      </c>
      <c r="W208" s="36">
        <v>1</v>
      </c>
      <c r="X208" s="36" t="s">
        <v>382</v>
      </c>
      <c r="Y208" s="36" t="s">
        <v>382</v>
      </c>
      <c r="Z208" s="36" t="s">
        <v>382</v>
      </c>
    </row>
    <row r="209" spans="1:26" x14ac:dyDescent="0.55000000000000004">
      <c r="A209" s="83"/>
      <c r="B209" s="83"/>
      <c r="C209" s="15">
        <v>13.25</v>
      </c>
      <c r="D209" s="36">
        <v>1</v>
      </c>
      <c r="E209" s="36">
        <v>1</v>
      </c>
      <c r="F209" s="36">
        <v>1</v>
      </c>
      <c r="G209" s="36">
        <v>1</v>
      </c>
      <c r="H209" s="36">
        <v>1</v>
      </c>
      <c r="I209" s="36">
        <v>1</v>
      </c>
      <c r="J209" s="36">
        <v>1</v>
      </c>
      <c r="K209" s="36">
        <v>1</v>
      </c>
      <c r="L209" s="36">
        <v>1</v>
      </c>
      <c r="M209" s="36">
        <v>1</v>
      </c>
      <c r="N209" s="36">
        <v>1</v>
      </c>
      <c r="O209" s="36">
        <v>1</v>
      </c>
      <c r="P209" s="36">
        <v>1</v>
      </c>
      <c r="Q209" s="36">
        <v>1</v>
      </c>
      <c r="R209" s="36">
        <v>1</v>
      </c>
      <c r="S209" s="36">
        <v>1</v>
      </c>
      <c r="T209" s="36">
        <v>1</v>
      </c>
      <c r="U209" s="36">
        <v>1</v>
      </c>
      <c r="V209" s="36">
        <v>1</v>
      </c>
      <c r="W209" s="36">
        <v>1</v>
      </c>
      <c r="X209" s="36" t="s">
        <v>382</v>
      </c>
      <c r="Y209" s="36" t="s">
        <v>382</v>
      </c>
      <c r="Z209" s="36" t="s">
        <v>382</v>
      </c>
    </row>
    <row r="210" spans="1:26" x14ac:dyDescent="0.55000000000000004">
      <c r="A210" s="83"/>
      <c r="B210" s="83"/>
      <c r="C210" s="15">
        <v>13.5</v>
      </c>
      <c r="D210" s="36">
        <v>1</v>
      </c>
      <c r="E210" s="36">
        <v>1</v>
      </c>
      <c r="F210" s="36">
        <v>1</v>
      </c>
      <c r="G210" s="36">
        <v>1</v>
      </c>
      <c r="H210" s="36">
        <v>1</v>
      </c>
      <c r="I210" s="36">
        <v>1</v>
      </c>
      <c r="J210" s="36">
        <v>1</v>
      </c>
      <c r="K210" s="36">
        <v>1</v>
      </c>
      <c r="L210" s="36">
        <v>1</v>
      </c>
      <c r="M210" s="36">
        <v>1</v>
      </c>
      <c r="N210" s="36">
        <v>1</v>
      </c>
      <c r="O210" s="36">
        <v>1</v>
      </c>
      <c r="P210" s="36">
        <v>1</v>
      </c>
      <c r="Q210" s="36">
        <v>1</v>
      </c>
      <c r="R210" s="36">
        <v>1</v>
      </c>
      <c r="S210" s="36">
        <v>1</v>
      </c>
      <c r="T210" s="36">
        <v>1</v>
      </c>
      <c r="U210" s="36">
        <v>1</v>
      </c>
      <c r="V210" s="36">
        <v>1</v>
      </c>
      <c r="W210" s="36">
        <v>1</v>
      </c>
      <c r="X210" s="36" t="s">
        <v>382</v>
      </c>
      <c r="Y210" s="36" t="s">
        <v>382</v>
      </c>
      <c r="Z210" s="36" t="s">
        <v>382</v>
      </c>
    </row>
    <row r="211" spans="1:26" x14ac:dyDescent="0.55000000000000004">
      <c r="A211" s="83"/>
      <c r="B211" s="83"/>
      <c r="C211" s="15">
        <v>13.75</v>
      </c>
      <c r="D211" s="36">
        <v>1</v>
      </c>
      <c r="E211" s="36">
        <v>1</v>
      </c>
      <c r="F211" s="36">
        <v>1</v>
      </c>
      <c r="G211" s="36">
        <v>1</v>
      </c>
      <c r="H211" s="36">
        <v>1</v>
      </c>
      <c r="I211" s="36">
        <v>1</v>
      </c>
      <c r="J211" s="36">
        <v>1</v>
      </c>
      <c r="K211" s="36">
        <v>1</v>
      </c>
      <c r="L211" s="36">
        <v>1</v>
      </c>
      <c r="M211" s="36">
        <v>1</v>
      </c>
      <c r="N211" s="36">
        <v>1</v>
      </c>
      <c r="O211" s="36">
        <v>1</v>
      </c>
      <c r="P211" s="36">
        <v>1</v>
      </c>
      <c r="Q211" s="36">
        <v>1</v>
      </c>
      <c r="R211" s="36">
        <v>1</v>
      </c>
      <c r="S211" s="36">
        <v>1</v>
      </c>
      <c r="T211" s="36">
        <v>1</v>
      </c>
      <c r="U211" s="36">
        <v>1</v>
      </c>
      <c r="V211" s="36">
        <v>1</v>
      </c>
      <c r="W211" s="36">
        <v>1</v>
      </c>
      <c r="X211" s="36" t="s">
        <v>382</v>
      </c>
      <c r="Y211" s="36" t="s">
        <v>382</v>
      </c>
      <c r="Z211" s="36" t="s">
        <v>382</v>
      </c>
    </row>
    <row r="212" spans="1:26" x14ac:dyDescent="0.55000000000000004">
      <c r="A212" s="83"/>
      <c r="B212" s="83"/>
      <c r="C212" s="15">
        <v>14</v>
      </c>
      <c r="D212" s="36">
        <v>1</v>
      </c>
      <c r="E212" s="36">
        <v>1</v>
      </c>
      <c r="F212" s="36">
        <v>1</v>
      </c>
      <c r="G212" s="36">
        <v>1</v>
      </c>
      <c r="H212" s="36">
        <v>1</v>
      </c>
      <c r="I212" s="36">
        <v>1</v>
      </c>
      <c r="J212" s="36">
        <v>1</v>
      </c>
      <c r="K212" s="36">
        <v>1</v>
      </c>
      <c r="L212" s="36">
        <v>1</v>
      </c>
      <c r="M212" s="36">
        <v>1</v>
      </c>
      <c r="N212" s="36">
        <v>1</v>
      </c>
      <c r="O212" s="36">
        <v>1</v>
      </c>
      <c r="P212" s="36">
        <v>1</v>
      </c>
      <c r="Q212" s="36">
        <v>1</v>
      </c>
      <c r="R212" s="36">
        <v>1</v>
      </c>
      <c r="S212" s="36">
        <v>1</v>
      </c>
      <c r="T212" s="36">
        <v>1</v>
      </c>
      <c r="U212" s="36">
        <v>1</v>
      </c>
      <c r="V212" s="36">
        <v>1</v>
      </c>
      <c r="W212" s="36">
        <v>1</v>
      </c>
      <c r="X212" s="36">
        <v>1</v>
      </c>
      <c r="Y212" s="36" t="s">
        <v>382</v>
      </c>
      <c r="Z212" s="36" t="s">
        <v>382</v>
      </c>
    </row>
    <row r="213" spans="1:26" x14ac:dyDescent="0.55000000000000004">
      <c r="A213" s="83"/>
      <c r="B213" s="83"/>
      <c r="C213" s="15">
        <v>14.25</v>
      </c>
      <c r="D213" s="36">
        <v>1</v>
      </c>
      <c r="E213" s="36">
        <v>1</v>
      </c>
      <c r="F213" s="36">
        <v>1</v>
      </c>
      <c r="G213" s="36">
        <v>1</v>
      </c>
      <c r="H213" s="36">
        <v>1</v>
      </c>
      <c r="I213" s="36">
        <v>1</v>
      </c>
      <c r="J213" s="36">
        <v>1</v>
      </c>
      <c r="K213" s="36">
        <v>1</v>
      </c>
      <c r="L213" s="36">
        <v>1</v>
      </c>
      <c r="M213" s="36">
        <v>1</v>
      </c>
      <c r="N213" s="36">
        <v>1</v>
      </c>
      <c r="O213" s="36">
        <v>1</v>
      </c>
      <c r="P213" s="36">
        <v>1</v>
      </c>
      <c r="Q213" s="36">
        <v>1</v>
      </c>
      <c r="R213" s="36">
        <v>1</v>
      </c>
      <c r="S213" s="36">
        <v>1</v>
      </c>
      <c r="T213" s="36">
        <v>1</v>
      </c>
      <c r="U213" s="36">
        <v>1</v>
      </c>
      <c r="V213" s="36">
        <v>1</v>
      </c>
      <c r="W213" s="36">
        <v>1</v>
      </c>
      <c r="X213" s="36">
        <v>1</v>
      </c>
      <c r="Y213" s="36" t="s">
        <v>382</v>
      </c>
      <c r="Z213" s="36" t="s">
        <v>382</v>
      </c>
    </row>
    <row r="214" spans="1:26" x14ac:dyDescent="0.55000000000000004">
      <c r="A214" s="83"/>
      <c r="B214" s="83"/>
      <c r="C214" s="15">
        <v>14.5</v>
      </c>
      <c r="D214" s="36">
        <v>1</v>
      </c>
      <c r="E214" s="36">
        <v>1</v>
      </c>
      <c r="F214" s="36">
        <v>1</v>
      </c>
      <c r="G214" s="36">
        <v>1</v>
      </c>
      <c r="H214" s="36">
        <v>1</v>
      </c>
      <c r="I214" s="36">
        <v>1</v>
      </c>
      <c r="J214" s="36">
        <v>1</v>
      </c>
      <c r="K214" s="36">
        <v>1</v>
      </c>
      <c r="L214" s="36">
        <v>1</v>
      </c>
      <c r="M214" s="36">
        <v>1</v>
      </c>
      <c r="N214" s="36">
        <v>1</v>
      </c>
      <c r="O214" s="36">
        <v>1</v>
      </c>
      <c r="P214" s="36">
        <v>1</v>
      </c>
      <c r="Q214" s="36">
        <v>1</v>
      </c>
      <c r="R214" s="36">
        <v>1</v>
      </c>
      <c r="S214" s="36">
        <v>1</v>
      </c>
      <c r="T214" s="36">
        <v>1</v>
      </c>
      <c r="U214" s="36">
        <v>1</v>
      </c>
      <c r="V214" s="36">
        <v>1</v>
      </c>
      <c r="W214" s="36">
        <v>1</v>
      </c>
      <c r="X214" s="36">
        <v>1</v>
      </c>
      <c r="Y214" s="36" t="s">
        <v>382</v>
      </c>
      <c r="Z214" s="36" t="s">
        <v>382</v>
      </c>
    </row>
    <row r="215" spans="1:26" x14ac:dyDescent="0.55000000000000004">
      <c r="A215" s="83"/>
      <c r="B215" s="83"/>
      <c r="C215" s="15">
        <v>14.75</v>
      </c>
      <c r="D215" s="36">
        <v>1</v>
      </c>
      <c r="E215" s="36">
        <v>1</v>
      </c>
      <c r="F215" s="36">
        <v>1</v>
      </c>
      <c r="G215" s="36">
        <v>1</v>
      </c>
      <c r="H215" s="36">
        <v>1</v>
      </c>
      <c r="I215" s="36">
        <v>1</v>
      </c>
      <c r="J215" s="36">
        <v>1</v>
      </c>
      <c r="K215" s="36">
        <v>1</v>
      </c>
      <c r="L215" s="36">
        <v>1</v>
      </c>
      <c r="M215" s="36">
        <v>1</v>
      </c>
      <c r="N215" s="36">
        <v>1</v>
      </c>
      <c r="O215" s="36">
        <v>1</v>
      </c>
      <c r="P215" s="36">
        <v>1</v>
      </c>
      <c r="Q215" s="36">
        <v>1</v>
      </c>
      <c r="R215" s="36">
        <v>1</v>
      </c>
      <c r="S215" s="36">
        <v>1</v>
      </c>
      <c r="T215" s="36">
        <v>1</v>
      </c>
      <c r="U215" s="36">
        <v>1</v>
      </c>
      <c r="V215" s="36">
        <v>1</v>
      </c>
      <c r="W215" s="36">
        <v>1</v>
      </c>
      <c r="X215" s="36">
        <v>1</v>
      </c>
      <c r="Y215" s="36" t="s">
        <v>382</v>
      </c>
      <c r="Z215" s="36" t="s">
        <v>382</v>
      </c>
    </row>
    <row r="216" spans="1:26" x14ac:dyDescent="0.55000000000000004">
      <c r="A216" s="83"/>
      <c r="B216" s="83"/>
      <c r="C216" s="15">
        <v>15</v>
      </c>
      <c r="D216" s="36">
        <v>1</v>
      </c>
      <c r="E216" s="36">
        <v>1</v>
      </c>
      <c r="F216" s="36">
        <v>1</v>
      </c>
      <c r="G216" s="36">
        <v>1</v>
      </c>
      <c r="H216" s="36">
        <v>1</v>
      </c>
      <c r="I216" s="36">
        <v>1</v>
      </c>
      <c r="J216" s="36">
        <v>1</v>
      </c>
      <c r="K216" s="36">
        <v>1</v>
      </c>
      <c r="L216" s="36">
        <v>1</v>
      </c>
      <c r="M216" s="36">
        <v>1</v>
      </c>
      <c r="N216" s="36">
        <v>1</v>
      </c>
      <c r="O216" s="36">
        <v>1</v>
      </c>
      <c r="P216" s="36">
        <v>1</v>
      </c>
      <c r="Q216" s="36">
        <v>1</v>
      </c>
      <c r="R216" s="36">
        <v>1</v>
      </c>
      <c r="S216" s="36">
        <v>1</v>
      </c>
      <c r="T216" s="36">
        <v>1</v>
      </c>
      <c r="U216" s="36">
        <v>1</v>
      </c>
      <c r="V216" s="36">
        <v>1</v>
      </c>
      <c r="W216" s="36">
        <v>1</v>
      </c>
      <c r="X216" s="36">
        <v>1</v>
      </c>
      <c r="Y216" s="36">
        <v>1</v>
      </c>
      <c r="Z216" s="36" t="s">
        <v>382</v>
      </c>
    </row>
    <row r="217" spans="1:26" x14ac:dyDescent="0.55000000000000004">
      <c r="A217" s="83"/>
      <c r="B217" s="83"/>
      <c r="C217" s="15">
        <v>15.25</v>
      </c>
      <c r="D217" s="36">
        <v>1</v>
      </c>
      <c r="E217" s="36">
        <v>1</v>
      </c>
      <c r="F217" s="36">
        <v>1</v>
      </c>
      <c r="G217" s="36">
        <v>1</v>
      </c>
      <c r="H217" s="36">
        <v>1</v>
      </c>
      <c r="I217" s="36">
        <v>1</v>
      </c>
      <c r="J217" s="36">
        <v>1</v>
      </c>
      <c r="K217" s="36">
        <v>1</v>
      </c>
      <c r="L217" s="36">
        <v>1</v>
      </c>
      <c r="M217" s="36">
        <v>1</v>
      </c>
      <c r="N217" s="36">
        <v>1</v>
      </c>
      <c r="O217" s="36">
        <v>1</v>
      </c>
      <c r="P217" s="36">
        <v>1</v>
      </c>
      <c r="Q217" s="36">
        <v>1</v>
      </c>
      <c r="R217" s="36">
        <v>1</v>
      </c>
      <c r="S217" s="36">
        <v>1</v>
      </c>
      <c r="T217" s="36">
        <v>1</v>
      </c>
      <c r="U217" s="36">
        <v>1</v>
      </c>
      <c r="V217" s="36">
        <v>1</v>
      </c>
      <c r="W217" s="36">
        <v>1</v>
      </c>
      <c r="X217" s="36">
        <v>1</v>
      </c>
      <c r="Y217" s="36">
        <v>1</v>
      </c>
      <c r="Z217" s="36" t="s">
        <v>382</v>
      </c>
    </row>
    <row r="218" spans="1:26" x14ac:dyDescent="0.55000000000000004">
      <c r="A218" s="83"/>
      <c r="B218" s="83"/>
      <c r="C218" s="15">
        <v>15.5</v>
      </c>
      <c r="D218" s="36">
        <v>1</v>
      </c>
      <c r="E218" s="36">
        <v>1</v>
      </c>
      <c r="F218" s="36">
        <v>1</v>
      </c>
      <c r="G218" s="36">
        <v>1</v>
      </c>
      <c r="H218" s="36">
        <v>1</v>
      </c>
      <c r="I218" s="36">
        <v>1</v>
      </c>
      <c r="J218" s="36">
        <v>1</v>
      </c>
      <c r="K218" s="36">
        <v>1</v>
      </c>
      <c r="L218" s="36">
        <v>1</v>
      </c>
      <c r="M218" s="36">
        <v>1</v>
      </c>
      <c r="N218" s="36">
        <v>1</v>
      </c>
      <c r="O218" s="36">
        <v>1</v>
      </c>
      <c r="P218" s="36">
        <v>1</v>
      </c>
      <c r="Q218" s="36">
        <v>1</v>
      </c>
      <c r="R218" s="36">
        <v>1</v>
      </c>
      <c r="S218" s="36">
        <v>1</v>
      </c>
      <c r="T218" s="36">
        <v>1</v>
      </c>
      <c r="U218" s="36">
        <v>1</v>
      </c>
      <c r="V218" s="36">
        <v>1</v>
      </c>
      <c r="W218" s="36">
        <v>1</v>
      </c>
      <c r="X218" s="36">
        <v>1</v>
      </c>
      <c r="Y218" s="36">
        <v>1</v>
      </c>
      <c r="Z218" s="36" t="s">
        <v>382</v>
      </c>
    </row>
    <row r="219" spans="1:26" x14ac:dyDescent="0.55000000000000004">
      <c r="A219" s="83"/>
      <c r="B219" s="83"/>
      <c r="C219" s="15">
        <v>15.75</v>
      </c>
      <c r="D219" s="36">
        <v>1</v>
      </c>
      <c r="E219" s="36">
        <v>1</v>
      </c>
      <c r="F219" s="36">
        <v>1</v>
      </c>
      <c r="G219" s="36">
        <v>1</v>
      </c>
      <c r="H219" s="36">
        <v>1</v>
      </c>
      <c r="I219" s="36">
        <v>1</v>
      </c>
      <c r="J219" s="36">
        <v>1</v>
      </c>
      <c r="K219" s="36">
        <v>1</v>
      </c>
      <c r="L219" s="36">
        <v>1</v>
      </c>
      <c r="M219" s="36">
        <v>1</v>
      </c>
      <c r="N219" s="36">
        <v>1</v>
      </c>
      <c r="O219" s="36">
        <v>1</v>
      </c>
      <c r="P219" s="36">
        <v>1</v>
      </c>
      <c r="Q219" s="36">
        <v>1</v>
      </c>
      <c r="R219" s="36">
        <v>1</v>
      </c>
      <c r="S219" s="36">
        <v>1</v>
      </c>
      <c r="T219" s="36">
        <v>1</v>
      </c>
      <c r="U219" s="36">
        <v>1</v>
      </c>
      <c r="V219" s="36">
        <v>1</v>
      </c>
      <c r="W219" s="36">
        <v>1</v>
      </c>
      <c r="X219" s="36">
        <v>1</v>
      </c>
      <c r="Y219" s="36">
        <v>1</v>
      </c>
      <c r="Z219" s="36" t="s">
        <v>382</v>
      </c>
    </row>
    <row r="220" spans="1:26" x14ac:dyDescent="0.55000000000000004">
      <c r="A220" s="83"/>
      <c r="B220" s="83"/>
      <c r="C220" s="15">
        <v>16</v>
      </c>
      <c r="D220" s="36">
        <v>1</v>
      </c>
      <c r="E220" s="36">
        <v>1</v>
      </c>
      <c r="F220" s="36">
        <v>1</v>
      </c>
      <c r="G220" s="36">
        <v>1</v>
      </c>
      <c r="H220" s="36">
        <v>1</v>
      </c>
      <c r="I220" s="36">
        <v>1</v>
      </c>
      <c r="J220" s="36">
        <v>1</v>
      </c>
      <c r="K220" s="36">
        <v>1</v>
      </c>
      <c r="L220" s="36">
        <v>1</v>
      </c>
      <c r="M220" s="36">
        <v>1</v>
      </c>
      <c r="N220" s="36">
        <v>1</v>
      </c>
      <c r="O220" s="36">
        <v>1</v>
      </c>
      <c r="P220" s="36">
        <v>1</v>
      </c>
      <c r="Q220" s="36">
        <v>1</v>
      </c>
      <c r="R220" s="36">
        <v>1</v>
      </c>
      <c r="S220" s="36">
        <v>1</v>
      </c>
      <c r="T220" s="36">
        <v>1</v>
      </c>
      <c r="U220" s="36">
        <v>1</v>
      </c>
      <c r="V220" s="36">
        <v>1</v>
      </c>
      <c r="W220" s="36">
        <v>1</v>
      </c>
      <c r="X220" s="36">
        <v>1</v>
      </c>
      <c r="Y220" s="36">
        <v>1</v>
      </c>
      <c r="Z220" s="36">
        <v>1</v>
      </c>
    </row>
    <row r="221" spans="1:26" x14ac:dyDescent="0.55000000000000004">
      <c r="A221" s="83"/>
      <c r="B221" s="83"/>
      <c r="C221" s="15">
        <v>16.25</v>
      </c>
      <c r="D221" s="36">
        <v>1</v>
      </c>
      <c r="E221" s="36">
        <v>1</v>
      </c>
      <c r="F221" s="36">
        <v>1</v>
      </c>
      <c r="G221" s="36">
        <v>1</v>
      </c>
      <c r="H221" s="36">
        <v>1</v>
      </c>
      <c r="I221" s="36">
        <v>1</v>
      </c>
      <c r="J221" s="36">
        <v>1</v>
      </c>
      <c r="K221" s="36">
        <v>1</v>
      </c>
      <c r="L221" s="36">
        <v>1</v>
      </c>
      <c r="M221" s="36">
        <v>1</v>
      </c>
      <c r="N221" s="36">
        <v>1</v>
      </c>
      <c r="O221" s="36">
        <v>1</v>
      </c>
      <c r="P221" s="36">
        <v>1</v>
      </c>
      <c r="Q221" s="36">
        <v>1</v>
      </c>
      <c r="R221" s="36">
        <v>1</v>
      </c>
      <c r="S221" s="36">
        <v>1</v>
      </c>
      <c r="T221" s="36">
        <v>1</v>
      </c>
      <c r="U221" s="36">
        <v>1</v>
      </c>
      <c r="V221" s="36">
        <v>1</v>
      </c>
      <c r="W221" s="36">
        <v>1</v>
      </c>
      <c r="X221" s="36">
        <v>1</v>
      </c>
      <c r="Y221" s="36">
        <v>1</v>
      </c>
      <c r="Z221" s="36">
        <v>1</v>
      </c>
    </row>
    <row r="222" spans="1:26" x14ac:dyDescent="0.55000000000000004">
      <c r="A222" s="83"/>
      <c r="B222" s="83"/>
      <c r="C222" s="15">
        <v>16.5</v>
      </c>
      <c r="D222" s="36">
        <v>1</v>
      </c>
      <c r="E222" s="36">
        <v>1</v>
      </c>
      <c r="F222" s="36">
        <v>1</v>
      </c>
      <c r="G222" s="36">
        <v>1</v>
      </c>
      <c r="H222" s="36">
        <v>1</v>
      </c>
      <c r="I222" s="36">
        <v>1</v>
      </c>
      <c r="J222" s="36">
        <v>1</v>
      </c>
      <c r="K222" s="36">
        <v>1</v>
      </c>
      <c r="L222" s="36">
        <v>1</v>
      </c>
      <c r="M222" s="36">
        <v>1</v>
      </c>
      <c r="N222" s="36">
        <v>1</v>
      </c>
      <c r="O222" s="36">
        <v>1</v>
      </c>
      <c r="P222" s="36">
        <v>1</v>
      </c>
      <c r="Q222" s="36">
        <v>1</v>
      </c>
      <c r="R222" s="36">
        <v>1</v>
      </c>
      <c r="S222" s="36">
        <v>1</v>
      </c>
      <c r="T222" s="36">
        <v>1</v>
      </c>
      <c r="U222" s="36">
        <v>1</v>
      </c>
      <c r="V222" s="36">
        <v>1</v>
      </c>
      <c r="W222" s="36">
        <v>1</v>
      </c>
      <c r="X222" s="36">
        <v>1</v>
      </c>
      <c r="Y222" s="36">
        <v>1</v>
      </c>
      <c r="Z222" s="36">
        <v>1</v>
      </c>
    </row>
    <row r="223" spans="1:26" x14ac:dyDescent="0.55000000000000004">
      <c r="A223" s="83"/>
      <c r="B223" s="83"/>
      <c r="C223" s="15">
        <v>16.75</v>
      </c>
      <c r="D223" s="36">
        <v>1</v>
      </c>
      <c r="E223" s="36">
        <v>1</v>
      </c>
      <c r="F223" s="36">
        <v>1</v>
      </c>
      <c r="G223" s="36">
        <v>1</v>
      </c>
      <c r="H223" s="36">
        <v>1</v>
      </c>
      <c r="I223" s="36">
        <v>1</v>
      </c>
      <c r="J223" s="36">
        <v>1</v>
      </c>
      <c r="K223" s="36">
        <v>1</v>
      </c>
      <c r="L223" s="36">
        <v>1</v>
      </c>
      <c r="M223" s="36">
        <v>1</v>
      </c>
      <c r="N223" s="36">
        <v>1</v>
      </c>
      <c r="O223" s="36">
        <v>1</v>
      </c>
      <c r="P223" s="36">
        <v>1</v>
      </c>
      <c r="Q223" s="36">
        <v>1</v>
      </c>
      <c r="R223" s="36">
        <v>1</v>
      </c>
      <c r="S223" s="36">
        <v>1</v>
      </c>
      <c r="T223" s="36">
        <v>1</v>
      </c>
      <c r="U223" s="36">
        <v>1</v>
      </c>
      <c r="V223" s="36">
        <v>1</v>
      </c>
      <c r="W223" s="36">
        <v>1</v>
      </c>
      <c r="X223" s="36">
        <v>1</v>
      </c>
      <c r="Y223" s="36">
        <v>1</v>
      </c>
      <c r="Z223" s="36">
        <v>1</v>
      </c>
    </row>
    <row r="224" spans="1:26" x14ac:dyDescent="0.55000000000000004">
      <c r="A224" s="83"/>
      <c r="B224" s="83"/>
      <c r="C224" s="15">
        <v>17</v>
      </c>
      <c r="D224" s="36">
        <v>1</v>
      </c>
      <c r="E224" s="36">
        <v>1</v>
      </c>
      <c r="F224" s="36">
        <v>1</v>
      </c>
      <c r="G224" s="36">
        <v>1</v>
      </c>
      <c r="H224" s="36">
        <v>1</v>
      </c>
      <c r="I224" s="36">
        <v>1</v>
      </c>
      <c r="J224" s="36">
        <v>1</v>
      </c>
      <c r="K224" s="36">
        <v>1</v>
      </c>
      <c r="L224" s="36">
        <v>1</v>
      </c>
      <c r="M224" s="36">
        <v>1</v>
      </c>
      <c r="N224" s="36">
        <v>1</v>
      </c>
      <c r="O224" s="36">
        <v>1</v>
      </c>
      <c r="P224" s="36">
        <v>1</v>
      </c>
      <c r="Q224" s="36">
        <v>1</v>
      </c>
      <c r="R224" s="36">
        <v>1</v>
      </c>
      <c r="S224" s="36">
        <v>1</v>
      </c>
      <c r="T224" s="36">
        <v>1</v>
      </c>
      <c r="U224" s="36">
        <v>1</v>
      </c>
      <c r="V224" s="36">
        <v>1</v>
      </c>
      <c r="W224" s="36">
        <v>1</v>
      </c>
      <c r="X224" s="36">
        <v>1</v>
      </c>
      <c r="Y224" s="36">
        <v>1</v>
      </c>
      <c r="Z224" s="36">
        <v>1</v>
      </c>
    </row>
    <row r="225" spans="1:26" x14ac:dyDescent="0.55000000000000004">
      <c r="A225" s="83"/>
      <c r="B225" s="83"/>
      <c r="C225" s="15">
        <v>17.25</v>
      </c>
      <c r="D225" s="36">
        <v>1</v>
      </c>
      <c r="E225" s="36">
        <v>1</v>
      </c>
      <c r="F225" s="36">
        <v>1</v>
      </c>
      <c r="G225" s="36">
        <v>1</v>
      </c>
      <c r="H225" s="36">
        <v>1</v>
      </c>
      <c r="I225" s="36">
        <v>1</v>
      </c>
      <c r="J225" s="36">
        <v>1</v>
      </c>
      <c r="K225" s="36">
        <v>1</v>
      </c>
      <c r="L225" s="36">
        <v>1</v>
      </c>
      <c r="M225" s="36">
        <v>1</v>
      </c>
      <c r="N225" s="36">
        <v>1</v>
      </c>
      <c r="O225" s="36">
        <v>1</v>
      </c>
      <c r="P225" s="36">
        <v>1</v>
      </c>
      <c r="Q225" s="36">
        <v>1</v>
      </c>
      <c r="R225" s="36">
        <v>1</v>
      </c>
      <c r="S225" s="36">
        <v>1</v>
      </c>
      <c r="T225" s="36">
        <v>1</v>
      </c>
      <c r="U225" s="36">
        <v>1</v>
      </c>
      <c r="V225" s="36">
        <v>1</v>
      </c>
      <c r="W225" s="36">
        <v>1</v>
      </c>
      <c r="X225" s="36">
        <v>1</v>
      </c>
      <c r="Y225" s="36">
        <v>1</v>
      </c>
      <c r="Z225" s="36">
        <v>1</v>
      </c>
    </row>
    <row r="226" spans="1:26" x14ac:dyDescent="0.55000000000000004">
      <c r="A226" s="83"/>
      <c r="B226" s="83"/>
      <c r="C226" s="15">
        <v>17.5</v>
      </c>
      <c r="D226" s="36">
        <v>1</v>
      </c>
      <c r="E226" s="36">
        <v>1</v>
      </c>
      <c r="F226" s="36">
        <v>1</v>
      </c>
      <c r="G226" s="36">
        <v>1</v>
      </c>
      <c r="H226" s="36">
        <v>1</v>
      </c>
      <c r="I226" s="36">
        <v>1</v>
      </c>
      <c r="J226" s="36">
        <v>1</v>
      </c>
      <c r="K226" s="36">
        <v>1</v>
      </c>
      <c r="L226" s="36">
        <v>1</v>
      </c>
      <c r="M226" s="36">
        <v>1</v>
      </c>
      <c r="N226" s="36">
        <v>1</v>
      </c>
      <c r="O226" s="36">
        <v>1</v>
      </c>
      <c r="P226" s="36">
        <v>1</v>
      </c>
      <c r="Q226" s="36">
        <v>1</v>
      </c>
      <c r="R226" s="36">
        <v>1</v>
      </c>
      <c r="S226" s="36">
        <v>1</v>
      </c>
      <c r="T226" s="36">
        <v>1</v>
      </c>
      <c r="U226" s="36">
        <v>1</v>
      </c>
      <c r="V226" s="36">
        <v>1</v>
      </c>
      <c r="W226" s="36">
        <v>1</v>
      </c>
      <c r="X226" s="36">
        <v>1</v>
      </c>
      <c r="Y226" s="36">
        <v>1</v>
      </c>
      <c r="Z226" s="36">
        <v>1</v>
      </c>
    </row>
    <row r="227" spans="1:26" x14ac:dyDescent="0.55000000000000004">
      <c r="A227" s="83"/>
      <c r="B227" s="83"/>
      <c r="C227" s="15">
        <v>17.75</v>
      </c>
      <c r="D227" s="36">
        <v>1</v>
      </c>
      <c r="E227" s="36">
        <v>1</v>
      </c>
      <c r="F227" s="36">
        <v>1</v>
      </c>
      <c r="G227" s="36">
        <v>1</v>
      </c>
      <c r="H227" s="36">
        <v>1</v>
      </c>
      <c r="I227" s="36">
        <v>1</v>
      </c>
      <c r="J227" s="36">
        <v>1</v>
      </c>
      <c r="K227" s="36">
        <v>1</v>
      </c>
      <c r="L227" s="36">
        <v>1</v>
      </c>
      <c r="M227" s="36">
        <v>1</v>
      </c>
      <c r="N227" s="36">
        <v>1</v>
      </c>
      <c r="O227" s="36">
        <v>1</v>
      </c>
      <c r="P227" s="36">
        <v>1</v>
      </c>
      <c r="Q227" s="36">
        <v>1</v>
      </c>
      <c r="R227" s="36">
        <v>1</v>
      </c>
      <c r="S227" s="36">
        <v>1</v>
      </c>
      <c r="T227" s="36">
        <v>1</v>
      </c>
      <c r="U227" s="36">
        <v>1</v>
      </c>
      <c r="V227" s="36">
        <v>1</v>
      </c>
      <c r="W227" s="36">
        <v>1</v>
      </c>
      <c r="X227" s="36">
        <v>1</v>
      </c>
      <c r="Y227" s="36">
        <v>1</v>
      </c>
      <c r="Z227" s="36">
        <v>1</v>
      </c>
    </row>
    <row r="228" spans="1:26" x14ac:dyDescent="0.55000000000000004">
      <c r="A228" s="83"/>
      <c r="B228" s="83"/>
      <c r="C228" s="15">
        <v>18</v>
      </c>
      <c r="D228" s="36">
        <v>1</v>
      </c>
      <c r="E228" s="36">
        <v>1</v>
      </c>
      <c r="F228" s="36">
        <v>1</v>
      </c>
      <c r="G228" s="36">
        <v>1</v>
      </c>
      <c r="H228" s="36">
        <v>1</v>
      </c>
      <c r="I228" s="36">
        <v>1</v>
      </c>
      <c r="J228" s="36">
        <v>1</v>
      </c>
      <c r="K228" s="36">
        <v>1</v>
      </c>
      <c r="L228" s="36">
        <v>1</v>
      </c>
      <c r="M228" s="36">
        <v>1</v>
      </c>
      <c r="N228" s="36">
        <v>1</v>
      </c>
      <c r="O228" s="36">
        <v>1</v>
      </c>
      <c r="P228" s="36">
        <v>1</v>
      </c>
      <c r="Q228" s="36">
        <v>1</v>
      </c>
      <c r="R228" s="36">
        <v>1</v>
      </c>
      <c r="S228" s="36">
        <v>1</v>
      </c>
      <c r="T228" s="36">
        <v>1</v>
      </c>
      <c r="U228" s="36">
        <v>1</v>
      </c>
      <c r="V228" s="36">
        <v>1</v>
      </c>
      <c r="W228" s="36">
        <v>1</v>
      </c>
      <c r="X228" s="36">
        <v>1</v>
      </c>
      <c r="Y228" s="36">
        <v>1</v>
      </c>
      <c r="Z228" s="36">
        <v>1</v>
      </c>
    </row>
    <row r="229" spans="1:26" x14ac:dyDescent="0.55000000000000004">
      <c r="A229" s="83"/>
      <c r="B229" s="83"/>
      <c r="C229" s="15">
        <v>18.25</v>
      </c>
      <c r="D229" s="36">
        <v>1</v>
      </c>
      <c r="E229" s="36">
        <v>1</v>
      </c>
      <c r="F229" s="36">
        <v>1</v>
      </c>
      <c r="G229" s="36">
        <v>1</v>
      </c>
      <c r="H229" s="36">
        <v>1</v>
      </c>
      <c r="I229" s="36">
        <v>1</v>
      </c>
      <c r="J229" s="36">
        <v>1</v>
      </c>
      <c r="K229" s="36">
        <v>1</v>
      </c>
      <c r="L229" s="36">
        <v>1</v>
      </c>
      <c r="M229" s="36">
        <v>1</v>
      </c>
      <c r="N229" s="36">
        <v>1</v>
      </c>
      <c r="O229" s="36">
        <v>1</v>
      </c>
      <c r="P229" s="36">
        <v>1</v>
      </c>
      <c r="Q229" s="36">
        <v>1</v>
      </c>
      <c r="R229" s="36">
        <v>1</v>
      </c>
      <c r="S229" s="36">
        <v>1</v>
      </c>
      <c r="T229" s="36">
        <v>1</v>
      </c>
      <c r="U229" s="36">
        <v>1</v>
      </c>
      <c r="V229" s="36">
        <v>1</v>
      </c>
      <c r="W229" s="36">
        <v>1</v>
      </c>
      <c r="X229" s="36">
        <v>1</v>
      </c>
      <c r="Y229" s="36">
        <v>1</v>
      </c>
      <c r="Z229" s="36">
        <v>1</v>
      </c>
    </row>
    <row r="230" spans="1:26" x14ac:dyDescent="0.55000000000000004">
      <c r="A230" s="83"/>
      <c r="B230" s="83"/>
      <c r="C230" s="15">
        <v>18.5</v>
      </c>
      <c r="D230" s="36">
        <v>1</v>
      </c>
      <c r="E230" s="36">
        <v>1</v>
      </c>
      <c r="F230" s="36">
        <v>1</v>
      </c>
      <c r="G230" s="36">
        <v>1</v>
      </c>
      <c r="H230" s="36">
        <v>1</v>
      </c>
      <c r="I230" s="36">
        <v>1</v>
      </c>
      <c r="J230" s="36">
        <v>1</v>
      </c>
      <c r="K230" s="36">
        <v>1</v>
      </c>
      <c r="L230" s="36">
        <v>1</v>
      </c>
      <c r="M230" s="36">
        <v>1</v>
      </c>
      <c r="N230" s="36">
        <v>1</v>
      </c>
      <c r="O230" s="36">
        <v>1</v>
      </c>
      <c r="P230" s="36">
        <v>1</v>
      </c>
      <c r="Q230" s="36">
        <v>1</v>
      </c>
      <c r="R230" s="36">
        <v>1</v>
      </c>
      <c r="S230" s="36">
        <v>1</v>
      </c>
      <c r="T230" s="36">
        <v>1</v>
      </c>
      <c r="U230" s="36">
        <v>1</v>
      </c>
      <c r="V230" s="36">
        <v>1</v>
      </c>
      <c r="W230" s="36">
        <v>1</v>
      </c>
      <c r="X230" s="36">
        <v>1</v>
      </c>
      <c r="Y230" s="36">
        <v>1</v>
      </c>
      <c r="Z230" s="36">
        <v>1</v>
      </c>
    </row>
    <row r="231" spans="1:26" x14ac:dyDescent="0.55000000000000004">
      <c r="A231" s="83"/>
      <c r="B231" s="83"/>
      <c r="C231" s="15">
        <v>18.75</v>
      </c>
      <c r="D231" s="36">
        <v>1</v>
      </c>
      <c r="E231" s="36">
        <v>1</v>
      </c>
      <c r="F231" s="36">
        <v>1</v>
      </c>
      <c r="G231" s="36">
        <v>1</v>
      </c>
      <c r="H231" s="36">
        <v>1</v>
      </c>
      <c r="I231" s="36">
        <v>1</v>
      </c>
      <c r="J231" s="36">
        <v>1</v>
      </c>
      <c r="K231" s="36">
        <v>1</v>
      </c>
      <c r="L231" s="36">
        <v>1</v>
      </c>
      <c r="M231" s="36">
        <v>1</v>
      </c>
      <c r="N231" s="36">
        <v>1</v>
      </c>
      <c r="O231" s="36">
        <v>1</v>
      </c>
      <c r="P231" s="36">
        <v>1</v>
      </c>
      <c r="Q231" s="36">
        <v>1</v>
      </c>
      <c r="R231" s="36">
        <v>1</v>
      </c>
      <c r="S231" s="36">
        <v>1</v>
      </c>
      <c r="T231" s="36">
        <v>1</v>
      </c>
      <c r="U231" s="36">
        <v>1</v>
      </c>
      <c r="V231" s="36">
        <v>1</v>
      </c>
      <c r="W231" s="36">
        <v>1</v>
      </c>
      <c r="X231" s="36">
        <v>1</v>
      </c>
      <c r="Y231" s="36">
        <v>1</v>
      </c>
      <c r="Z231" s="36">
        <v>1</v>
      </c>
    </row>
    <row r="232" spans="1:26" x14ac:dyDescent="0.55000000000000004">
      <c r="A232" s="83"/>
      <c r="B232" s="83"/>
      <c r="C232" s="15">
        <v>19</v>
      </c>
      <c r="D232" s="36">
        <v>1</v>
      </c>
      <c r="E232" s="36">
        <v>1</v>
      </c>
      <c r="F232" s="36">
        <v>1</v>
      </c>
      <c r="G232" s="36">
        <v>1</v>
      </c>
      <c r="H232" s="36">
        <v>1</v>
      </c>
      <c r="I232" s="36">
        <v>1</v>
      </c>
      <c r="J232" s="36">
        <v>1</v>
      </c>
      <c r="K232" s="36">
        <v>1</v>
      </c>
      <c r="L232" s="36">
        <v>1</v>
      </c>
      <c r="M232" s="36">
        <v>1</v>
      </c>
      <c r="N232" s="36">
        <v>1</v>
      </c>
      <c r="O232" s="36">
        <v>1</v>
      </c>
      <c r="P232" s="36">
        <v>1</v>
      </c>
      <c r="Q232" s="36">
        <v>1</v>
      </c>
      <c r="R232" s="36">
        <v>1</v>
      </c>
      <c r="S232" s="36">
        <v>1</v>
      </c>
      <c r="T232" s="36">
        <v>1</v>
      </c>
      <c r="U232" s="36">
        <v>1</v>
      </c>
      <c r="V232" s="36">
        <v>1</v>
      </c>
      <c r="W232" s="36">
        <v>1</v>
      </c>
      <c r="X232" s="36">
        <v>1</v>
      </c>
      <c r="Y232" s="36">
        <v>1</v>
      </c>
      <c r="Z232" s="36">
        <v>1</v>
      </c>
    </row>
    <row r="233" spans="1:26" x14ac:dyDescent="0.55000000000000004">
      <c r="A233" s="83"/>
      <c r="B233" s="83"/>
      <c r="C233" s="15">
        <v>19.25</v>
      </c>
      <c r="D233" s="36">
        <v>1</v>
      </c>
      <c r="E233" s="36">
        <v>1</v>
      </c>
      <c r="F233" s="36">
        <v>1</v>
      </c>
      <c r="G233" s="36">
        <v>1</v>
      </c>
      <c r="H233" s="36">
        <v>1</v>
      </c>
      <c r="I233" s="36">
        <v>1</v>
      </c>
      <c r="J233" s="36">
        <v>1</v>
      </c>
      <c r="K233" s="36">
        <v>1</v>
      </c>
      <c r="L233" s="36">
        <v>1</v>
      </c>
      <c r="M233" s="36">
        <v>1</v>
      </c>
      <c r="N233" s="36">
        <v>1</v>
      </c>
      <c r="O233" s="36">
        <v>1</v>
      </c>
      <c r="P233" s="36">
        <v>1</v>
      </c>
      <c r="Q233" s="36">
        <v>1</v>
      </c>
      <c r="R233" s="36">
        <v>1</v>
      </c>
      <c r="S233" s="36">
        <v>1</v>
      </c>
      <c r="T233" s="36">
        <v>1</v>
      </c>
      <c r="U233" s="36">
        <v>1</v>
      </c>
      <c r="V233" s="36">
        <v>1</v>
      </c>
      <c r="W233" s="36">
        <v>1</v>
      </c>
      <c r="X233" s="36">
        <v>1</v>
      </c>
      <c r="Y233" s="36">
        <v>1</v>
      </c>
      <c r="Z233" s="36">
        <v>1</v>
      </c>
    </row>
    <row r="234" spans="1:26" x14ac:dyDescent="0.55000000000000004">
      <c r="A234" s="83"/>
      <c r="B234" s="83"/>
      <c r="C234" s="15">
        <v>19.5</v>
      </c>
      <c r="D234" s="36">
        <v>1</v>
      </c>
      <c r="E234" s="36">
        <v>1</v>
      </c>
      <c r="F234" s="36">
        <v>1</v>
      </c>
      <c r="G234" s="36">
        <v>1</v>
      </c>
      <c r="H234" s="36">
        <v>1</v>
      </c>
      <c r="I234" s="36">
        <v>1</v>
      </c>
      <c r="J234" s="36">
        <v>1</v>
      </c>
      <c r="K234" s="36">
        <v>1</v>
      </c>
      <c r="L234" s="36">
        <v>1</v>
      </c>
      <c r="M234" s="36">
        <v>1</v>
      </c>
      <c r="N234" s="36">
        <v>1</v>
      </c>
      <c r="O234" s="36">
        <v>1</v>
      </c>
      <c r="P234" s="36">
        <v>1</v>
      </c>
      <c r="Q234" s="36">
        <v>1</v>
      </c>
      <c r="R234" s="36">
        <v>1</v>
      </c>
      <c r="S234" s="36">
        <v>1</v>
      </c>
      <c r="T234" s="36">
        <v>1</v>
      </c>
      <c r="U234" s="36">
        <v>1</v>
      </c>
      <c r="V234" s="36">
        <v>1</v>
      </c>
      <c r="W234" s="36">
        <v>1</v>
      </c>
      <c r="X234" s="36">
        <v>1</v>
      </c>
      <c r="Y234" s="36">
        <v>1</v>
      </c>
      <c r="Z234" s="36">
        <v>1</v>
      </c>
    </row>
    <row r="235" spans="1:26" x14ac:dyDescent="0.55000000000000004">
      <c r="A235" s="83"/>
      <c r="B235" s="83"/>
      <c r="C235" s="15">
        <v>19.75</v>
      </c>
      <c r="D235" s="36">
        <v>1</v>
      </c>
      <c r="E235" s="36">
        <v>1</v>
      </c>
      <c r="F235" s="36">
        <v>1</v>
      </c>
      <c r="G235" s="36">
        <v>1</v>
      </c>
      <c r="H235" s="36">
        <v>1</v>
      </c>
      <c r="I235" s="36">
        <v>1</v>
      </c>
      <c r="J235" s="36">
        <v>1</v>
      </c>
      <c r="K235" s="36">
        <v>1</v>
      </c>
      <c r="L235" s="36">
        <v>1</v>
      </c>
      <c r="M235" s="36">
        <v>1</v>
      </c>
      <c r="N235" s="36">
        <v>1</v>
      </c>
      <c r="O235" s="36">
        <v>1</v>
      </c>
      <c r="P235" s="36">
        <v>1</v>
      </c>
      <c r="Q235" s="36">
        <v>1</v>
      </c>
      <c r="R235" s="36">
        <v>1</v>
      </c>
      <c r="S235" s="36">
        <v>1</v>
      </c>
      <c r="T235" s="36">
        <v>1</v>
      </c>
      <c r="U235" s="36">
        <v>1</v>
      </c>
      <c r="V235" s="36">
        <v>1</v>
      </c>
      <c r="W235" s="36">
        <v>1</v>
      </c>
      <c r="X235" s="36">
        <v>1</v>
      </c>
      <c r="Y235" s="36">
        <v>1</v>
      </c>
      <c r="Z235" s="36">
        <v>1</v>
      </c>
    </row>
    <row r="236" spans="1:26" x14ac:dyDescent="0.55000000000000004">
      <c r="A236" s="83"/>
      <c r="B236" s="83"/>
      <c r="C236" s="15">
        <v>20</v>
      </c>
      <c r="D236" s="36">
        <v>1</v>
      </c>
      <c r="E236" s="36">
        <v>1</v>
      </c>
      <c r="F236" s="36">
        <v>1</v>
      </c>
      <c r="G236" s="36">
        <v>1</v>
      </c>
      <c r="H236" s="36">
        <v>1</v>
      </c>
      <c r="I236" s="36">
        <v>1</v>
      </c>
      <c r="J236" s="36">
        <v>1</v>
      </c>
      <c r="K236" s="36">
        <v>1</v>
      </c>
      <c r="L236" s="36">
        <v>1</v>
      </c>
      <c r="M236" s="36">
        <v>1</v>
      </c>
      <c r="N236" s="36">
        <v>1</v>
      </c>
      <c r="O236" s="36">
        <v>1</v>
      </c>
      <c r="P236" s="36">
        <v>1</v>
      </c>
      <c r="Q236" s="36">
        <v>1</v>
      </c>
      <c r="R236" s="36">
        <v>1</v>
      </c>
      <c r="S236" s="36">
        <v>1</v>
      </c>
      <c r="T236" s="36">
        <v>1</v>
      </c>
      <c r="U236" s="36">
        <v>1</v>
      </c>
      <c r="V236" s="36">
        <v>1</v>
      </c>
      <c r="W236" s="36">
        <v>1</v>
      </c>
      <c r="X236" s="36">
        <v>1</v>
      </c>
      <c r="Y236" s="36">
        <v>1</v>
      </c>
      <c r="Z236" s="36">
        <v>1</v>
      </c>
    </row>
    <row r="238" spans="1:26" x14ac:dyDescent="0.55000000000000004">
      <c r="C238" s="48" t="s">
        <v>108</v>
      </c>
      <c r="D238" s="53">
        <v>0.4375</v>
      </c>
      <c r="E238" s="49">
        <v>0.5</v>
      </c>
      <c r="F238" s="53">
        <v>0.5625</v>
      </c>
      <c r="G238" s="49">
        <v>0.63500000000000001</v>
      </c>
      <c r="H238" s="49">
        <v>0.75</v>
      </c>
      <c r="I238" s="49">
        <v>0.875</v>
      </c>
      <c r="J238" s="49">
        <v>1</v>
      </c>
      <c r="K238" s="49">
        <v>1.125</v>
      </c>
      <c r="L238" s="49">
        <v>1.25</v>
      </c>
      <c r="M238" s="49">
        <v>1.375</v>
      </c>
      <c r="N238" s="49">
        <v>1.5</v>
      </c>
      <c r="O238" s="49">
        <v>1.635</v>
      </c>
      <c r="P238" s="49">
        <v>1.75</v>
      </c>
      <c r="Q238" s="49">
        <v>1.875</v>
      </c>
      <c r="R238" s="49">
        <v>2</v>
      </c>
      <c r="S238" s="49">
        <v>2.25</v>
      </c>
      <c r="T238" s="49">
        <v>2.5</v>
      </c>
      <c r="U238" s="49">
        <v>2.75</v>
      </c>
      <c r="V238" s="49">
        <v>3</v>
      </c>
      <c r="W238" s="49">
        <v>3.25</v>
      </c>
      <c r="X238" s="49">
        <v>3.5</v>
      </c>
      <c r="Y238" s="49">
        <v>3.75</v>
      </c>
      <c r="Z238" s="49">
        <v>4</v>
      </c>
    </row>
    <row r="239" spans="1:26" x14ac:dyDescent="0.55000000000000004">
      <c r="C239" s="48" t="s">
        <v>108</v>
      </c>
      <c r="D239" s="49" t="s">
        <v>450</v>
      </c>
      <c r="E239" s="49" t="s">
        <v>451</v>
      </c>
      <c r="F239" s="49" t="s">
        <v>452</v>
      </c>
      <c r="G239" s="49" t="s">
        <v>453</v>
      </c>
      <c r="H239" s="49" t="s">
        <v>454</v>
      </c>
      <c r="I239" s="49" t="s">
        <v>455</v>
      </c>
      <c r="J239" s="49" t="s">
        <v>456</v>
      </c>
      <c r="K239" s="49" t="s">
        <v>457</v>
      </c>
      <c r="L239" s="49" t="s">
        <v>458</v>
      </c>
      <c r="M239" s="49" t="s">
        <v>459</v>
      </c>
      <c r="N239" s="49" t="s">
        <v>460</v>
      </c>
      <c r="O239" s="49" t="s">
        <v>461</v>
      </c>
      <c r="P239" s="49" t="s">
        <v>462</v>
      </c>
      <c r="Q239" s="49" t="s">
        <v>463</v>
      </c>
      <c r="R239" s="49" t="s">
        <v>464</v>
      </c>
      <c r="S239" s="49" t="s">
        <v>465</v>
      </c>
      <c r="T239" s="49" t="s">
        <v>466</v>
      </c>
      <c r="U239" s="49" t="s">
        <v>467</v>
      </c>
      <c r="V239" s="49" t="s">
        <v>468</v>
      </c>
      <c r="W239" s="49" t="s">
        <v>469</v>
      </c>
      <c r="X239" s="49" t="s">
        <v>470</v>
      </c>
      <c r="Y239" s="49" t="s">
        <v>471</v>
      </c>
      <c r="Z239" s="49" t="s">
        <v>472</v>
      </c>
    </row>
    <row r="240" spans="1:26" x14ac:dyDescent="0.55000000000000004">
      <c r="C240" s="52" t="s">
        <v>480</v>
      </c>
      <c r="D240" s="49">
        <v>1.52E-2</v>
      </c>
      <c r="E240" s="49">
        <v>2.0899999999999998E-2</v>
      </c>
      <c r="F240" s="49">
        <v>2.5899999999999999E-2</v>
      </c>
      <c r="G240" s="49">
        <v>3.3000000000000002E-2</v>
      </c>
      <c r="H240" s="49">
        <v>4.8599999999999997E-2</v>
      </c>
      <c r="I240" s="49">
        <v>6.6600000000000006E-2</v>
      </c>
      <c r="J240" s="49">
        <v>8.7400000000000005E-2</v>
      </c>
      <c r="K240" s="49">
        <v>0.11260000000000001</v>
      </c>
      <c r="L240" s="49">
        <v>0.14119999999999999</v>
      </c>
      <c r="M240" s="49">
        <v>0.1729</v>
      </c>
      <c r="N240" s="49">
        <v>0.20830000000000001</v>
      </c>
      <c r="O240" s="49">
        <v>0.2465</v>
      </c>
      <c r="P240" s="49">
        <v>0.28860000000000002</v>
      </c>
      <c r="Q240" s="49">
        <v>0.33279999999999998</v>
      </c>
      <c r="R240" s="49">
        <v>0.37959999999999999</v>
      </c>
      <c r="S240" s="49">
        <v>0.48620000000000002</v>
      </c>
      <c r="T240" s="49">
        <v>0.60580000000000001</v>
      </c>
      <c r="U240" s="49">
        <v>0.73580000000000001</v>
      </c>
      <c r="V240" s="49">
        <v>0.88139999999999996</v>
      </c>
      <c r="W240" s="49">
        <v>1.0529999999999999</v>
      </c>
      <c r="X240" s="49">
        <v>1.2272000000000001</v>
      </c>
      <c r="Y240" s="49">
        <v>1.3779999999999999</v>
      </c>
      <c r="Z240" s="49">
        <v>1.5829</v>
      </c>
    </row>
    <row r="241" spans="1:26" x14ac:dyDescent="0.55000000000000004">
      <c r="A241" s="83" t="s">
        <v>484</v>
      </c>
      <c r="B241" s="83" t="s">
        <v>369</v>
      </c>
      <c r="C241" s="15">
        <v>2</v>
      </c>
      <c r="D241" s="36">
        <f>IF($C241&gt;=(4*D$238),(($C241*D$240)*1),"-")</f>
        <v>3.04E-2</v>
      </c>
      <c r="E241" s="36">
        <f t="shared" ref="E241:Z252" si="36">IF($C241&gt;=(4*E$238),(($C241*E$240)*1),"-")</f>
        <v>4.1799999999999997E-2</v>
      </c>
      <c r="F241" s="36" t="str">
        <f t="shared" si="36"/>
        <v>-</v>
      </c>
      <c r="G241" s="36" t="str">
        <f t="shared" si="36"/>
        <v>-</v>
      </c>
      <c r="H241" s="36" t="str">
        <f t="shared" si="36"/>
        <v>-</v>
      </c>
      <c r="I241" s="36" t="str">
        <f t="shared" si="36"/>
        <v>-</v>
      </c>
      <c r="J241" s="36" t="str">
        <f t="shared" si="36"/>
        <v>-</v>
      </c>
      <c r="K241" s="36" t="str">
        <f t="shared" si="36"/>
        <v>-</v>
      </c>
      <c r="L241" s="36" t="str">
        <f t="shared" si="36"/>
        <v>-</v>
      </c>
      <c r="M241" s="36" t="str">
        <f t="shared" si="36"/>
        <v>-</v>
      </c>
      <c r="N241" s="36" t="str">
        <f t="shared" si="36"/>
        <v>-</v>
      </c>
      <c r="O241" s="36" t="str">
        <f t="shared" si="36"/>
        <v>-</v>
      </c>
      <c r="P241" s="36" t="str">
        <f t="shared" si="36"/>
        <v>-</v>
      </c>
      <c r="Q241" s="36" t="str">
        <f t="shared" si="36"/>
        <v>-</v>
      </c>
      <c r="R241" s="36" t="str">
        <f t="shared" si="36"/>
        <v>-</v>
      </c>
      <c r="S241" s="36" t="str">
        <f t="shared" si="36"/>
        <v>-</v>
      </c>
      <c r="T241" s="36" t="str">
        <f t="shared" si="36"/>
        <v>-</v>
      </c>
      <c r="U241" s="36" t="str">
        <f t="shared" si="36"/>
        <v>-</v>
      </c>
      <c r="V241" s="36" t="str">
        <f t="shared" si="36"/>
        <v>-</v>
      </c>
      <c r="W241" s="36" t="str">
        <f t="shared" si="36"/>
        <v>-</v>
      </c>
      <c r="X241" s="36" t="str">
        <f t="shared" si="36"/>
        <v>-</v>
      </c>
      <c r="Y241" s="36" t="str">
        <f t="shared" si="36"/>
        <v>-</v>
      </c>
      <c r="Z241" s="36" t="str">
        <f t="shared" si="36"/>
        <v>-</v>
      </c>
    </row>
    <row r="242" spans="1:26" x14ac:dyDescent="0.55000000000000004">
      <c r="A242" s="83"/>
      <c r="B242" s="83"/>
      <c r="C242" s="15">
        <v>2.25</v>
      </c>
      <c r="D242" s="36">
        <f t="shared" ref="D242:S268" si="37">IF($C242&gt;=(4*D$238),(($C242*D$240)*1),"-")</f>
        <v>3.4200000000000001E-2</v>
      </c>
      <c r="E242" s="36">
        <f t="shared" si="36"/>
        <v>4.7024999999999997E-2</v>
      </c>
      <c r="F242" s="36">
        <f t="shared" si="36"/>
        <v>5.8275E-2</v>
      </c>
      <c r="G242" s="36" t="str">
        <f t="shared" si="36"/>
        <v>-</v>
      </c>
      <c r="H242" s="36" t="str">
        <f t="shared" si="36"/>
        <v>-</v>
      </c>
      <c r="I242" s="36" t="str">
        <f t="shared" si="36"/>
        <v>-</v>
      </c>
      <c r="J242" s="36" t="str">
        <f t="shared" si="36"/>
        <v>-</v>
      </c>
      <c r="K242" s="36" t="str">
        <f t="shared" si="36"/>
        <v>-</v>
      </c>
      <c r="L242" s="36" t="str">
        <f t="shared" si="36"/>
        <v>-</v>
      </c>
      <c r="M242" s="36" t="str">
        <f t="shared" si="36"/>
        <v>-</v>
      </c>
      <c r="N242" s="36" t="str">
        <f t="shared" si="36"/>
        <v>-</v>
      </c>
      <c r="O242" s="36" t="str">
        <f t="shared" si="36"/>
        <v>-</v>
      </c>
      <c r="P242" s="36" t="str">
        <f t="shared" si="36"/>
        <v>-</v>
      </c>
      <c r="Q242" s="36" t="str">
        <f t="shared" si="36"/>
        <v>-</v>
      </c>
      <c r="R242" s="36" t="str">
        <f t="shared" si="36"/>
        <v>-</v>
      </c>
      <c r="S242" s="36" t="str">
        <f t="shared" si="36"/>
        <v>-</v>
      </c>
      <c r="T242" s="36" t="str">
        <f t="shared" si="36"/>
        <v>-</v>
      </c>
      <c r="U242" s="36" t="str">
        <f t="shared" si="36"/>
        <v>-</v>
      </c>
      <c r="V242" s="36" t="str">
        <f t="shared" si="36"/>
        <v>-</v>
      </c>
      <c r="W242" s="36" t="str">
        <f t="shared" si="36"/>
        <v>-</v>
      </c>
      <c r="X242" s="36" t="str">
        <f t="shared" si="36"/>
        <v>-</v>
      </c>
      <c r="Y242" s="36" t="str">
        <f t="shared" si="36"/>
        <v>-</v>
      </c>
      <c r="Z242" s="36" t="str">
        <f t="shared" si="36"/>
        <v>-</v>
      </c>
    </row>
    <row r="243" spans="1:26" x14ac:dyDescent="0.55000000000000004">
      <c r="A243" s="83"/>
      <c r="B243" s="83"/>
      <c r="C243" s="15">
        <v>2.5</v>
      </c>
      <c r="D243" s="36">
        <f t="shared" si="37"/>
        <v>3.7999999999999999E-2</v>
      </c>
      <c r="E243" s="36">
        <f t="shared" si="36"/>
        <v>5.2249999999999998E-2</v>
      </c>
      <c r="F243" s="36">
        <f t="shared" si="36"/>
        <v>6.4750000000000002E-2</v>
      </c>
      <c r="G243" s="36" t="str">
        <f t="shared" si="36"/>
        <v>-</v>
      </c>
      <c r="H243" s="36" t="str">
        <f t="shared" si="36"/>
        <v>-</v>
      </c>
      <c r="I243" s="36" t="str">
        <f t="shared" si="36"/>
        <v>-</v>
      </c>
      <c r="J243" s="36" t="str">
        <f t="shared" si="36"/>
        <v>-</v>
      </c>
      <c r="K243" s="36" t="str">
        <f t="shared" si="36"/>
        <v>-</v>
      </c>
      <c r="L243" s="36" t="str">
        <f t="shared" si="36"/>
        <v>-</v>
      </c>
      <c r="M243" s="36" t="str">
        <f t="shared" si="36"/>
        <v>-</v>
      </c>
      <c r="N243" s="36" t="str">
        <f t="shared" si="36"/>
        <v>-</v>
      </c>
      <c r="O243" s="36" t="str">
        <f t="shared" si="36"/>
        <v>-</v>
      </c>
      <c r="P243" s="36" t="str">
        <f t="shared" si="36"/>
        <v>-</v>
      </c>
      <c r="Q243" s="36" t="str">
        <f t="shared" si="36"/>
        <v>-</v>
      </c>
      <c r="R243" s="36" t="str">
        <f t="shared" si="36"/>
        <v>-</v>
      </c>
      <c r="S243" s="36" t="str">
        <f t="shared" si="36"/>
        <v>-</v>
      </c>
      <c r="T243" s="36" t="str">
        <f t="shared" si="36"/>
        <v>-</v>
      </c>
      <c r="U243" s="36" t="str">
        <f t="shared" si="36"/>
        <v>-</v>
      </c>
      <c r="V243" s="36" t="str">
        <f t="shared" si="36"/>
        <v>-</v>
      </c>
      <c r="W243" s="36" t="str">
        <f t="shared" si="36"/>
        <v>-</v>
      </c>
      <c r="X243" s="36" t="str">
        <f t="shared" si="36"/>
        <v>-</v>
      </c>
      <c r="Y243" s="36" t="str">
        <f t="shared" si="36"/>
        <v>-</v>
      </c>
      <c r="Z243" s="36" t="str">
        <f t="shared" si="36"/>
        <v>-</v>
      </c>
    </row>
    <row r="244" spans="1:26" x14ac:dyDescent="0.55000000000000004">
      <c r="A244" s="83"/>
      <c r="B244" s="83"/>
      <c r="C244" s="15">
        <v>2.75</v>
      </c>
      <c r="D244" s="36">
        <f t="shared" si="37"/>
        <v>4.1799999999999997E-2</v>
      </c>
      <c r="E244" s="36">
        <f t="shared" si="36"/>
        <v>5.7474999999999998E-2</v>
      </c>
      <c r="F244" s="36">
        <f t="shared" si="36"/>
        <v>7.1224999999999997E-2</v>
      </c>
      <c r="G244" s="36">
        <f t="shared" si="36"/>
        <v>9.0749999999999997E-2</v>
      </c>
      <c r="H244" s="36" t="str">
        <f t="shared" si="36"/>
        <v>-</v>
      </c>
      <c r="I244" s="36" t="str">
        <f t="shared" si="36"/>
        <v>-</v>
      </c>
      <c r="J244" s="36" t="str">
        <f t="shared" si="36"/>
        <v>-</v>
      </c>
      <c r="K244" s="36" t="str">
        <f t="shared" si="36"/>
        <v>-</v>
      </c>
      <c r="L244" s="36" t="str">
        <f t="shared" si="36"/>
        <v>-</v>
      </c>
      <c r="M244" s="36" t="str">
        <f t="shared" si="36"/>
        <v>-</v>
      </c>
      <c r="N244" s="36" t="str">
        <f t="shared" si="36"/>
        <v>-</v>
      </c>
      <c r="O244" s="36" t="str">
        <f t="shared" si="36"/>
        <v>-</v>
      </c>
      <c r="P244" s="36" t="str">
        <f t="shared" si="36"/>
        <v>-</v>
      </c>
      <c r="Q244" s="36" t="str">
        <f t="shared" si="36"/>
        <v>-</v>
      </c>
      <c r="R244" s="36" t="str">
        <f t="shared" si="36"/>
        <v>-</v>
      </c>
      <c r="S244" s="36" t="str">
        <f t="shared" si="36"/>
        <v>-</v>
      </c>
      <c r="T244" s="36" t="str">
        <f t="shared" si="36"/>
        <v>-</v>
      </c>
      <c r="U244" s="36" t="str">
        <f t="shared" si="36"/>
        <v>-</v>
      </c>
      <c r="V244" s="36" t="str">
        <f t="shared" si="36"/>
        <v>-</v>
      </c>
      <c r="W244" s="36" t="str">
        <f t="shared" si="36"/>
        <v>-</v>
      </c>
      <c r="X244" s="36" t="str">
        <f t="shared" si="36"/>
        <v>-</v>
      </c>
      <c r="Y244" s="36" t="str">
        <f t="shared" si="36"/>
        <v>-</v>
      </c>
      <c r="Z244" s="36" t="str">
        <f t="shared" si="36"/>
        <v>-</v>
      </c>
    </row>
    <row r="245" spans="1:26" x14ac:dyDescent="0.55000000000000004">
      <c r="A245" s="83"/>
      <c r="B245" s="83"/>
      <c r="C245" s="15">
        <v>3</v>
      </c>
      <c r="D245" s="36">
        <f t="shared" si="37"/>
        <v>4.5600000000000002E-2</v>
      </c>
      <c r="E245" s="36">
        <f t="shared" si="36"/>
        <v>6.2699999999999992E-2</v>
      </c>
      <c r="F245" s="36">
        <f t="shared" si="36"/>
        <v>7.7699999999999991E-2</v>
      </c>
      <c r="G245" s="36">
        <f t="shared" si="36"/>
        <v>9.9000000000000005E-2</v>
      </c>
      <c r="H245" s="36">
        <f t="shared" si="36"/>
        <v>0.14579999999999999</v>
      </c>
      <c r="I245" s="36" t="str">
        <f t="shared" si="36"/>
        <v>-</v>
      </c>
      <c r="J245" s="36" t="str">
        <f t="shared" si="36"/>
        <v>-</v>
      </c>
      <c r="K245" s="36" t="str">
        <f t="shared" si="36"/>
        <v>-</v>
      </c>
      <c r="L245" s="36" t="str">
        <f t="shared" si="36"/>
        <v>-</v>
      </c>
      <c r="M245" s="36" t="str">
        <f t="shared" si="36"/>
        <v>-</v>
      </c>
      <c r="N245" s="36" t="str">
        <f t="shared" si="36"/>
        <v>-</v>
      </c>
      <c r="O245" s="36" t="str">
        <f t="shared" si="36"/>
        <v>-</v>
      </c>
      <c r="P245" s="36" t="str">
        <f t="shared" si="36"/>
        <v>-</v>
      </c>
      <c r="Q245" s="36" t="str">
        <f t="shared" si="36"/>
        <v>-</v>
      </c>
      <c r="R245" s="36" t="str">
        <f t="shared" si="36"/>
        <v>-</v>
      </c>
      <c r="S245" s="36" t="str">
        <f t="shared" si="36"/>
        <v>-</v>
      </c>
      <c r="T245" s="36" t="str">
        <f t="shared" si="36"/>
        <v>-</v>
      </c>
      <c r="U245" s="36" t="str">
        <f t="shared" si="36"/>
        <v>-</v>
      </c>
      <c r="V245" s="36" t="str">
        <f t="shared" si="36"/>
        <v>-</v>
      </c>
      <c r="W245" s="36" t="str">
        <f t="shared" si="36"/>
        <v>-</v>
      </c>
      <c r="X245" s="36" t="str">
        <f t="shared" si="36"/>
        <v>-</v>
      </c>
      <c r="Y245" s="36" t="str">
        <f t="shared" si="36"/>
        <v>-</v>
      </c>
      <c r="Z245" s="36" t="str">
        <f t="shared" si="36"/>
        <v>-</v>
      </c>
    </row>
    <row r="246" spans="1:26" x14ac:dyDescent="0.55000000000000004">
      <c r="A246" s="83"/>
      <c r="B246" s="83"/>
      <c r="C246" s="15">
        <v>3.25</v>
      </c>
      <c r="D246" s="36">
        <f t="shared" si="37"/>
        <v>4.9399999999999999E-2</v>
      </c>
      <c r="E246" s="36">
        <f t="shared" si="36"/>
        <v>6.7924999999999999E-2</v>
      </c>
      <c r="F246" s="36">
        <f t="shared" si="36"/>
        <v>8.4175E-2</v>
      </c>
      <c r="G246" s="36">
        <f t="shared" si="36"/>
        <v>0.10725000000000001</v>
      </c>
      <c r="H246" s="36">
        <f t="shared" si="36"/>
        <v>0.15794999999999998</v>
      </c>
      <c r="I246" s="36" t="str">
        <f t="shared" si="36"/>
        <v>-</v>
      </c>
      <c r="J246" s="36" t="str">
        <f t="shared" si="36"/>
        <v>-</v>
      </c>
      <c r="K246" s="36" t="str">
        <f t="shared" si="36"/>
        <v>-</v>
      </c>
      <c r="L246" s="36" t="str">
        <f t="shared" si="36"/>
        <v>-</v>
      </c>
      <c r="M246" s="36" t="str">
        <f t="shared" si="36"/>
        <v>-</v>
      </c>
      <c r="N246" s="36" t="str">
        <f t="shared" si="36"/>
        <v>-</v>
      </c>
      <c r="O246" s="36" t="str">
        <f t="shared" si="36"/>
        <v>-</v>
      </c>
      <c r="P246" s="36" t="str">
        <f t="shared" si="36"/>
        <v>-</v>
      </c>
      <c r="Q246" s="36" t="str">
        <f t="shared" si="36"/>
        <v>-</v>
      </c>
      <c r="R246" s="36" t="str">
        <f t="shared" si="36"/>
        <v>-</v>
      </c>
      <c r="S246" s="36" t="str">
        <f t="shared" si="36"/>
        <v>-</v>
      </c>
      <c r="T246" s="36" t="str">
        <f t="shared" si="36"/>
        <v>-</v>
      </c>
      <c r="U246" s="36" t="str">
        <f t="shared" si="36"/>
        <v>-</v>
      </c>
      <c r="V246" s="36" t="str">
        <f t="shared" si="36"/>
        <v>-</v>
      </c>
      <c r="W246" s="36" t="str">
        <f t="shared" si="36"/>
        <v>-</v>
      </c>
      <c r="X246" s="36" t="str">
        <f t="shared" si="36"/>
        <v>-</v>
      </c>
      <c r="Y246" s="36" t="str">
        <f t="shared" si="36"/>
        <v>-</v>
      </c>
      <c r="Z246" s="36" t="str">
        <f t="shared" si="36"/>
        <v>-</v>
      </c>
    </row>
    <row r="247" spans="1:26" x14ac:dyDescent="0.55000000000000004">
      <c r="A247" s="83"/>
      <c r="B247" s="83"/>
      <c r="C247" s="15">
        <v>3.5</v>
      </c>
      <c r="D247" s="36">
        <f t="shared" si="37"/>
        <v>5.3199999999999997E-2</v>
      </c>
      <c r="E247" s="36">
        <f t="shared" si="36"/>
        <v>7.3149999999999993E-2</v>
      </c>
      <c r="F247" s="36">
        <f t="shared" si="36"/>
        <v>9.0649999999999994E-2</v>
      </c>
      <c r="G247" s="36">
        <f t="shared" si="36"/>
        <v>0.11550000000000001</v>
      </c>
      <c r="H247" s="36">
        <f t="shared" si="36"/>
        <v>0.1701</v>
      </c>
      <c r="I247" s="36">
        <f t="shared" si="36"/>
        <v>0.23310000000000003</v>
      </c>
      <c r="J247" s="36" t="str">
        <f t="shared" si="36"/>
        <v>-</v>
      </c>
      <c r="K247" s="36" t="str">
        <f t="shared" si="36"/>
        <v>-</v>
      </c>
      <c r="L247" s="36" t="str">
        <f t="shared" si="36"/>
        <v>-</v>
      </c>
      <c r="M247" s="36" t="str">
        <f t="shared" si="36"/>
        <v>-</v>
      </c>
      <c r="N247" s="36" t="str">
        <f t="shared" si="36"/>
        <v>-</v>
      </c>
      <c r="O247" s="36" t="str">
        <f t="shared" si="36"/>
        <v>-</v>
      </c>
      <c r="P247" s="36" t="str">
        <f t="shared" si="36"/>
        <v>-</v>
      </c>
      <c r="Q247" s="36" t="str">
        <f t="shared" si="36"/>
        <v>-</v>
      </c>
      <c r="R247" s="36" t="str">
        <f t="shared" si="36"/>
        <v>-</v>
      </c>
      <c r="S247" s="36" t="str">
        <f t="shared" si="36"/>
        <v>-</v>
      </c>
      <c r="T247" s="36" t="str">
        <f t="shared" si="36"/>
        <v>-</v>
      </c>
      <c r="U247" s="36" t="str">
        <f t="shared" si="36"/>
        <v>-</v>
      </c>
      <c r="V247" s="36" t="str">
        <f t="shared" si="36"/>
        <v>-</v>
      </c>
      <c r="W247" s="36" t="str">
        <f t="shared" si="36"/>
        <v>-</v>
      </c>
      <c r="X247" s="36" t="str">
        <f t="shared" si="36"/>
        <v>-</v>
      </c>
      <c r="Y247" s="36" t="str">
        <f t="shared" si="36"/>
        <v>-</v>
      </c>
      <c r="Z247" s="36" t="str">
        <f t="shared" si="36"/>
        <v>-</v>
      </c>
    </row>
    <row r="248" spans="1:26" x14ac:dyDescent="0.55000000000000004">
      <c r="A248" s="83"/>
      <c r="B248" s="83"/>
      <c r="C248" s="15">
        <v>3.75</v>
      </c>
      <c r="D248" s="36">
        <f t="shared" si="37"/>
        <v>5.7000000000000002E-2</v>
      </c>
      <c r="E248" s="36">
        <f t="shared" si="36"/>
        <v>7.8375E-2</v>
      </c>
      <c r="F248" s="36">
        <f t="shared" si="36"/>
        <v>9.7125000000000003E-2</v>
      </c>
      <c r="G248" s="36">
        <f t="shared" si="36"/>
        <v>0.12375</v>
      </c>
      <c r="H248" s="36">
        <f t="shared" si="36"/>
        <v>0.18225</v>
      </c>
      <c r="I248" s="36">
        <f t="shared" si="36"/>
        <v>0.24975000000000003</v>
      </c>
      <c r="J248" s="36" t="str">
        <f t="shared" si="36"/>
        <v>-</v>
      </c>
      <c r="K248" s="36" t="str">
        <f t="shared" si="36"/>
        <v>-</v>
      </c>
      <c r="L248" s="36" t="str">
        <f t="shared" si="36"/>
        <v>-</v>
      </c>
      <c r="M248" s="36" t="str">
        <f t="shared" si="36"/>
        <v>-</v>
      </c>
      <c r="N248" s="36" t="str">
        <f t="shared" si="36"/>
        <v>-</v>
      </c>
      <c r="O248" s="36" t="str">
        <f t="shared" si="36"/>
        <v>-</v>
      </c>
      <c r="P248" s="36" t="str">
        <f t="shared" si="36"/>
        <v>-</v>
      </c>
      <c r="Q248" s="36" t="str">
        <f t="shared" si="36"/>
        <v>-</v>
      </c>
      <c r="R248" s="36" t="str">
        <f t="shared" si="36"/>
        <v>-</v>
      </c>
      <c r="S248" s="36" t="str">
        <f t="shared" si="36"/>
        <v>-</v>
      </c>
      <c r="T248" s="36" t="str">
        <f t="shared" si="36"/>
        <v>-</v>
      </c>
      <c r="U248" s="36" t="str">
        <f t="shared" si="36"/>
        <v>-</v>
      </c>
      <c r="V248" s="36" t="str">
        <f t="shared" si="36"/>
        <v>-</v>
      </c>
      <c r="W248" s="36" t="str">
        <f t="shared" si="36"/>
        <v>-</v>
      </c>
      <c r="X248" s="36" t="str">
        <f t="shared" si="36"/>
        <v>-</v>
      </c>
      <c r="Y248" s="36" t="str">
        <f t="shared" si="36"/>
        <v>-</v>
      </c>
      <c r="Z248" s="36" t="str">
        <f t="shared" si="36"/>
        <v>-</v>
      </c>
    </row>
    <row r="249" spans="1:26" x14ac:dyDescent="0.55000000000000004">
      <c r="A249" s="83"/>
      <c r="B249" s="83"/>
      <c r="C249" s="15">
        <v>4</v>
      </c>
      <c r="D249" s="36">
        <f t="shared" si="37"/>
        <v>6.08E-2</v>
      </c>
      <c r="E249" s="36">
        <f t="shared" si="36"/>
        <v>8.3599999999999994E-2</v>
      </c>
      <c r="F249" s="36">
        <f t="shared" si="36"/>
        <v>0.1036</v>
      </c>
      <c r="G249" s="36">
        <f t="shared" si="36"/>
        <v>0.13200000000000001</v>
      </c>
      <c r="H249" s="36">
        <f t="shared" si="36"/>
        <v>0.19439999999999999</v>
      </c>
      <c r="I249" s="36">
        <f t="shared" si="36"/>
        <v>0.26640000000000003</v>
      </c>
      <c r="J249" s="36">
        <f t="shared" si="36"/>
        <v>0.34960000000000002</v>
      </c>
      <c r="K249" s="36" t="str">
        <f t="shared" si="36"/>
        <v>-</v>
      </c>
      <c r="L249" s="36" t="str">
        <f t="shared" si="36"/>
        <v>-</v>
      </c>
      <c r="M249" s="36" t="str">
        <f t="shared" si="36"/>
        <v>-</v>
      </c>
      <c r="N249" s="36" t="str">
        <f t="shared" si="36"/>
        <v>-</v>
      </c>
      <c r="O249" s="36" t="str">
        <f t="shared" si="36"/>
        <v>-</v>
      </c>
      <c r="P249" s="36" t="str">
        <f t="shared" si="36"/>
        <v>-</v>
      </c>
      <c r="Q249" s="36" t="str">
        <f t="shared" si="36"/>
        <v>-</v>
      </c>
      <c r="R249" s="36" t="str">
        <f t="shared" si="36"/>
        <v>-</v>
      </c>
      <c r="S249" s="36" t="str">
        <f t="shared" si="36"/>
        <v>-</v>
      </c>
      <c r="T249" s="36" t="str">
        <f t="shared" si="36"/>
        <v>-</v>
      </c>
      <c r="U249" s="36" t="str">
        <f t="shared" si="36"/>
        <v>-</v>
      </c>
      <c r="V249" s="36" t="str">
        <f t="shared" si="36"/>
        <v>-</v>
      </c>
      <c r="W249" s="36" t="str">
        <f t="shared" si="36"/>
        <v>-</v>
      </c>
      <c r="X249" s="36" t="str">
        <f t="shared" si="36"/>
        <v>-</v>
      </c>
      <c r="Y249" s="36" t="str">
        <f t="shared" si="36"/>
        <v>-</v>
      </c>
      <c r="Z249" s="36" t="str">
        <f t="shared" si="36"/>
        <v>-</v>
      </c>
    </row>
    <row r="250" spans="1:26" x14ac:dyDescent="0.55000000000000004">
      <c r="A250" s="83"/>
      <c r="B250" s="83"/>
      <c r="C250" s="15">
        <v>4.25</v>
      </c>
      <c r="D250" s="36">
        <f t="shared" si="37"/>
        <v>6.4600000000000005E-2</v>
      </c>
      <c r="E250" s="36">
        <f t="shared" si="36"/>
        <v>8.8824999999999987E-2</v>
      </c>
      <c r="F250" s="36">
        <f t="shared" si="36"/>
        <v>0.11007499999999999</v>
      </c>
      <c r="G250" s="36">
        <f t="shared" si="36"/>
        <v>0.14025000000000001</v>
      </c>
      <c r="H250" s="36">
        <f t="shared" si="36"/>
        <v>0.20654999999999998</v>
      </c>
      <c r="I250" s="36">
        <f t="shared" si="36"/>
        <v>0.28305000000000002</v>
      </c>
      <c r="J250" s="36">
        <f t="shared" si="36"/>
        <v>0.37145</v>
      </c>
      <c r="K250" s="36" t="str">
        <f t="shared" si="36"/>
        <v>-</v>
      </c>
      <c r="L250" s="36" t="str">
        <f t="shared" si="36"/>
        <v>-</v>
      </c>
      <c r="M250" s="36" t="str">
        <f t="shared" si="36"/>
        <v>-</v>
      </c>
      <c r="N250" s="36" t="str">
        <f t="shared" si="36"/>
        <v>-</v>
      </c>
      <c r="O250" s="36" t="str">
        <f t="shared" si="36"/>
        <v>-</v>
      </c>
      <c r="P250" s="36" t="str">
        <f t="shared" si="36"/>
        <v>-</v>
      </c>
      <c r="Q250" s="36" t="str">
        <f t="shared" si="36"/>
        <v>-</v>
      </c>
      <c r="R250" s="36" t="str">
        <f t="shared" si="36"/>
        <v>-</v>
      </c>
      <c r="S250" s="36" t="str">
        <f t="shared" si="36"/>
        <v>-</v>
      </c>
      <c r="T250" s="36" t="str">
        <f t="shared" si="36"/>
        <v>-</v>
      </c>
      <c r="U250" s="36" t="str">
        <f t="shared" si="36"/>
        <v>-</v>
      </c>
      <c r="V250" s="36" t="str">
        <f t="shared" si="36"/>
        <v>-</v>
      </c>
      <c r="W250" s="36" t="str">
        <f t="shared" si="36"/>
        <v>-</v>
      </c>
      <c r="X250" s="36" t="str">
        <f t="shared" si="36"/>
        <v>-</v>
      </c>
      <c r="Y250" s="36" t="str">
        <f t="shared" si="36"/>
        <v>-</v>
      </c>
      <c r="Z250" s="36" t="str">
        <f t="shared" si="36"/>
        <v>-</v>
      </c>
    </row>
    <row r="251" spans="1:26" x14ac:dyDescent="0.55000000000000004">
      <c r="A251" s="83"/>
      <c r="B251" s="83"/>
      <c r="C251" s="15">
        <v>4.5</v>
      </c>
      <c r="D251" s="36">
        <f t="shared" si="37"/>
        <v>6.8400000000000002E-2</v>
      </c>
      <c r="E251" s="36">
        <f t="shared" si="36"/>
        <v>9.4049999999999995E-2</v>
      </c>
      <c r="F251" s="36">
        <f t="shared" si="36"/>
        <v>0.11655</v>
      </c>
      <c r="G251" s="36">
        <f t="shared" si="36"/>
        <v>0.14850000000000002</v>
      </c>
      <c r="H251" s="36">
        <f t="shared" si="36"/>
        <v>0.21869999999999998</v>
      </c>
      <c r="I251" s="36">
        <f t="shared" si="36"/>
        <v>0.29970000000000002</v>
      </c>
      <c r="J251" s="36">
        <f t="shared" si="36"/>
        <v>0.39330000000000004</v>
      </c>
      <c r="K251" s="36">
        <f t="shared" si="36"/>
        <v>0.50670000000000004</v>
      </c>
      <c r="L251" s="36" t="str">
        <f t="shared" si="36"/>
        <v>-</v>
      </c>
      <c r="M251" s="36" t="str">
        <f t="shared" si="36"/>
        <v>-</v>
      </c>
      <c r="N251" s="36" t="str">
        <f t="shared" si="36"/>
        <v>-</v>
      </c>
      <c r="O251" s="36" t="str">
        <f t="shared" si="36"/>
        <v>-</v>
      </c>
      <c r="P251" s="36" t="str">
        <f t="shared" si="36"/>
        <v>-</v>
      </c>
      <c r="Q251" s="36" t="str">
        <f t="shared" si="36"/>
        <v>-</v>
      </c>
      <c r="R251" s="36" t="str">
        <f t="shared" si="36"/>
        <v>-</v>
      </c>
      <c r="S251" s="36" t="str">
        <f t="shared" si="36"/>
        <v>-</v>
      </c>
      <c r="T251" s="36" t="str">
        <f t="shared" si="36"/>
        <v>-</v>
      </c>
      <c r="U251" s="36" t="str">
        <f t="shared" si="36"/>
        <v>-</v>
      </c>
      <c r="V251" s="36" t="str">
        <f t="shared" si="36"/>
        <v>-</v>
      </c>
      <c r="W251" s="36" t="str">
        <f t="shared" si="36"/>
        <v>-</v>
      </c>
      <c r="X251" s="36" t="str">
        <f t="shared" si="36"/>
        <v>-</v>
      </c>
      <c r="Y251" s="36" t="str">
        <f t="shared" si="36"/>
        <v>-</v>
      </c>
      <c r="Z251" s="36" t="str">
        <f t="shared" si="36"/>
        <v>-</v>
      </c>
    </row>
    <row r="252" spans="1:26" x14ac:dyDescent="0.55000000000000004">
      <c r="A252" s="83"/>
      <c r="B252" s="83"/>
      <c r="C252" s="15">
        <v>4.75</v>
      </c>
      <c r="D252" s="36">
        <f t="shared" si="37"/>
        <v>7.22E-2</v>
      </c>
      <c r="E252" s="36">
        <f t="shared" si="36"/>
        <v>9.9274999999999988E-2</v>
      </c>
      <c r="F252" s="36">
        <f t="shared" si="36"/>
        <v>0.123025</v>
      </c>
      <c r="G252" s="36">
        <f t="shared" si="36"/>
        <v>0.15675</v>
      </c>
      <c r="H252" s="36">
        <f t="shared" si="36"/>
        <v>0.23085</v>
      </c>
      <c r="I252" s="36">
        <f t="shared" si="36"/>
        <v>0.31635000000000002</v>
      </c>
      <c r="J252" s="36">
        <f t="shared" si="36"/>
        <v>0.41515000000000002</v>
      </c>
      <c r="K252" s="36">
        <f t="shared" si="36"/>
        <v>0.53485000000000005</v>
      </c>
      <c r="L252" s="36" t="str">
        <f t="shared" si="36"/>
        <v>-</v>
      </c>
      <c r="M252" s="36" t="str">
        <f t="shared" si="36"/>
        <v>-</v>
      </c>
      <c r="N252" s="36" t="str">
        <f t="shared" si="36"/>
        <v>-</v>
      </c>
      <c r="O252" s="36" t="str">
        <f t="shared" si="36"/>
        <v>-</v>
      </c>
      <c r="P252" s="36" t="str">
        <f t="shared" si="36"/>
        <v>-</v>
      </c>
      <c r="Q252" s="36" t="str">
        <f t="shared" si="36"/>
        <v>-</v>
      </c>
      <c r="R252" s="36" t="str">
        <f t="shared" ref="R252:Z283" si="38">IF($C252&gt;=(4*R$238),(($C252*R$240)*1),"-")</f>
        <v>-</v>
      </c>
      <c r="S252" s="36" t="str">
        <f t="shared" si="38"/>
        <v>-</v>
      </c>
      <c r="T252" s="36" t="str">
        <f t="shared" si="38"/>
        <v>-</v>
      </c>
      <c r="U252" s="36" t="str">
        <f t="shared" si="38"/>
        <v>-</v>
      </c>
      <c r="V252" s="36" t="str">
        <f t="shared" si="38"/>
        <v>-</v>
      </c>
      <c r="W252" s="36" t="str">
        <f t="shared" si="38"/>
        <v>-</v>
      </c>
      <c r="X252" s="36" t="str">
        <f t="shared" si="38"/>
        <v>-</v>
      </c>
      <c r="Y252" s="36" t="str">
        <f t="shared" si="38"/>
        <v>-</v>
      </c>
      <c r="Z252" s="36" t="str">
        <f t="shared" si="38"/>
        <v>-</v>
      </c>
    </row>
    <row r="253" spans="1:26" x14ac:dyDescent="0.55000000000000004">
      <c r="A253" s="83"/>
      <c r="B253" s="83"/>
      <c r="C253" s="15">
        <v>5</v>
      </c>
      <c r="D253" s="36">
        <f t="shared" si="37"/>
        <v>7.5999999999999998E-2</v>
      </c>
      <c r="E253" s="36">
        <f t="shared" si="37"/>
        <v>0.1045</v>
      </c>
      <c r="F253" s="36">
        <f t="shared" si="37"/>
        <v>0.1295</v>
      </c>
      <c r="G253" s="36">
        <f t="shared" si="37"/>
        <v>0.16500000000000001</v>
      </c>
      <c r="H253" s="36">
        <f t="shared" si="37"/>
        <v>0.24299999999999999</v>
      </c>
      <c r="I253" s="36">
        <f t="shared" si="37"/>
        <v>0.33300000000000002</v>
      </c>
      <c r="J253" s="36">
        <f t="shared" si="37"/>
        <v>0.43700000000000006</v>
      </c>
      <c r="K253" s="36">
        <f t="shared" si="37"/>
        <v>0.56300000000000006</v>
      </c>
      <c r="L253" s="36">
        <f t="shared" si="37"/>
        <v>0.70599999999999996</v>
      </c>
      <c r="M253" s="36" t="str">
        <f t="shared" si="37"/>
        <v>-</v>
      </c>
      <c r="N253" s="36" t="str">
        <f t="shared" si="37"/>
        <v>-</v>
      </c>
      <c r="O253" s="36" t="str">
        <f t="shared" si="37"/>
        <v>-</v>
      </c>
      <c r="P253" s="36" t="str">
        <f t="shared" si="37"/>
        <v>-</v>
      </c>
      <c r="Q253" s="36" t="str">
        <f t="shared" si="37"/>
        <v>-</v>
      </c>
      <c r="R253" s="36" t="str">
        <f t="shared" si="37"/>
        <v>-</v>
      </c>
      <c r="S253" s="36" t="str">
        <f t="shared" si="37"/>
        <v>-</v>
      </c>
      <c r="T253" s="36" t="str">
        <f t="shared" si="38"/>
        <v>-</v>
      </c>
      <c r="U253" s="36" t="str">
        <f t="shared" si="38"/>
        <v>-</v>
      </c>
      <c r="V253" s="36" t="str">
        <f t="shared" si="38"/>
        <v>-</v>
      </c>
      <c r="W253" s="36" t="str">
        <f t="shared" si="38"/>
        <v>-</v>
      </c>
      <c r="X253" s="36" t="str">
        <f t="shared" si="38"/>
        <v>-</v>
      </c>
      <c r="Y253" s="36" t="str">
        <f t="shared" si="38"/>
        <v>-</v>
      </c>
      <c r="Z253" s="36" t="str">
        <f t="shared" si="38"/>
        <v>-</v>
      </c>
    </row>
    <row r="254" spans="1:26" x14ac:dyDescent="0.55000000000000004">
      <c r="A254" s="83"/>
      <c r="B254" s="83"/>
      <c r="C254" s="15">
        <v>5.25</v>
      </c>
      <c r="D254" s="36">
        <f t="shared" si="37"/>
        <v>7.9799999999999996E-2</v>
      </c>
      <c r="E254" s="36">
        <f t="shared" si="37"/>
        <v>0.10972499999999999</v>
      </c>
      <c r="F254" s="36">
        <f t="shared" si="37"/>
        <v>0.13597499999999998</v>
      </c>
      <c r="G254" s="36">
        <f t="shared" si="37"/>
        <v>0.17325000000000002</v>
      </c>
      <c r="H254" s="36">
        <f t="shared" si="37"/>
        <v>0.25514999999999999</v>
      </c>
      <c r="I254" s="36">
        <f t="shared" si="37"/>
        <v>0.34965000000000002</v>
      </c>
      <c r="J254" s="36">
        <f t="shared" si="37"/>
        <v>0.45885000000000004</v>
      </c>
      <c r="K254" s="36">
        <f t="shared" si="37"/>
        <v>0.59115000000000006</v>
      </c>
      <c r="L254" s="36">
        <f t="shared" si="37"/>
        <v>0.74129999999999996</v>
      </c>
      <c r="M254" s="36" t="str">
        <f t="shared" si="37"/>
        <v>-</v>
      </c>
      <c r="N254" s="36" t="str">
        <f t="shared" si="37"/>
        <v>-</v>
      </c>
      <c r="O254" s="36" t="str">
        <f t="shared" si="37"/>
        <v>-</v>
      </c>
      <c r="P254" s="36" t="str">
        <f t="shared" si="37"/>
        <v>-</v>
      </c>
      <c r="Q254" s="36" t="str">
        <f t="shared" si="37"/>
        <v>-</v>
      </c>
      <c r="R254" s="36" t="str">
        <f t="shared" si="37"/>
        <v>-</v>
      </c>
      <c r="S254" s="36" t="str">
        <f t="shared" si="37"/>
        <v>-</v>
      </c>
      <c r="T254" s="36" t="str">
        <f t="shared" si="38"/>
        <v>-</v>
      </c>
      <c r="U254" s="36" t="str">
        <f t="shared" si="38"/>
        <v>-</v>
      </c>
      <c r="V254" s="36" t="str">
        <f t="shared" si="38"/>
        <v>-</v>
      </c>
      <c r="W254" s="36" t="str">
        <f t="shared" si="38"/>
        <v>-</v>
      </c>
      <c r="X254" s="36" t="str">
        <f t="shared" si="38"/>
        <v>-</v>
      </c>
      <c r="Y254" s="36" t="str">
        <f t="shared" si="38"/>
        <v>-</v>
      </c>
      <c r="Z254" s="36" t="str">
        <f t="shared" si="38"/>
        <v>-</v>
      </c>
    </row>
    <row r="255" spans="1:26" x14ac:dyDescent="0.55000000000000004">
      <c r="A255" s="83"/>
      <c r="B255" s="83"/>
      <c r="C255" s="15">
        <v>5.5</v>
      </c>
      <c r="D255" s="36">
        <f t="shared" si="37"/>
        <v>8.3599999999999994E-2</v>
      </c>
      <c r="E255" s="36">
        <f t="shared" si="37"/>
        <v>0.11495</v>
      </c>
      <c r="F255" s="36">
        <f t="shared" si="37"/>
        <v>0.14244999999999999</v>
      </c>
      <c r="G255" s="36">
        <f t="shared" si="37"/>
        <v>0.18149999999999999</v>
      </c>
      <c r="H255" s="36">
        <f t="shared" si="37"/>
        <v>0.26729999999999998</v>
      </c>
      <c r="I255" s="36">
        <f t="shared" si="37"/>
        <v>0.36630000000000001</v>
      </c>
      <c r="J255" s="36">
        <f t="shared" si="37"/>
        <v>0.48070000000000002</v>
      </c>
      <c r="K255" s="36">
        <f t="shared" si="37"/>
        <v>0.61930000000000007</v>
      </c>
      <c r="L255" s="36">
        <f t="shared" si="37"/>
        <v>0.77659999999999996</v>
      </c>
      <c r="M255" s="36">
        <f t="shared" si="37"/>
        <v>0.95094999999999996</v>
      </c>
      <c r="N255" s="36" t="str">
        <f t="shared" si="37"/>
        <v>-</v>
      </c>
      <c r="O255" s="36" t="str">
        <f t="shared" si="37"/>
        <v>-</v>
      </c>
      <c r="P255" s="36" t="str">
        <f t="shared" si="37"/>
        <v>-</v>
      </c>
      <c r="Q255" s="36" t="str">
        <f t="shared" si="37"/>
        <v>-</v>
      </c>
      <c r="R255" s="36" t="str">
        <f t="shared" si="37"/>
        <v>-</v>
      </c>
      <c r="S255" s="36" t="str">
        <f t="shared" si="37"/>
        <v>-</v>
      </c>
      <c r="T255" s="36" t="str">
        <f t="shared" si="38"/>
        <v>-</v>
      </c>
      <c r="U255" s="36" t="str">
        <f t="shared" si="38"/>
        <v>-</v>
      </c>
      <c r="V255" s="36" t="str">
        <f t="shared" si="38"/>
        <v>-</v>
      </c>
      <c r="W255" s="36" t="str">
        <f t="shared" si="38"/>
        <v>-</v>
      </c>
      <c r="X255" s="36" t="str">
        <f t="shared" si="38"/>
        <v>-</v>
      </c>
      <c r="Y255" s="36" t="str">
        <f t="shared" si="38"/>
        <v>-</v>
      </c>
      <c r="Z255" s="36" t="str">
        <f t="shared" si="38"/>
        <v>-</v>
      </c>
    </row>
    <row r="256" spans="1:26" x14ac:dyDescent="0.55000000000000004">
      <c r="A256" s="83"/>
      <c r="B256" s="83"/>
      <c r="C256" s="15">
        <v>5.75</v>
      </c>
      <c r="D256" s="36">
        <f t="shared" si="37"/>
        <v>8.7400000000000005E-2</v>
      </c>
      <c r="E256" s="36">
        <f t="shared" si="37"/>
        <v>0.12017499999999999</v>
      </c>
      <c r="F256" s="36">
        <f t="shared" si="37"/>
        <v>0.148925</v>
      </c>
      <c r="G256" s="36">
        <f t="shared" si="37"/>
        <v>0.18975</v>
      </c>
      <c r="H256" s="36">
        <f t="shared" si="37"/>
        <v>0.27944999999999998</v>
      </c>
      <c r="I256" s="36">
        <f t="shared" si="37"/>
        <v>0.38295000000000001</v>
      </c>
      <c r="J256" s="36">
        <f t="shared" si="37"/>
        <v>0.50255000000000005</v>
      </c>
      <c r="K256" s="36">
        <f t="shared" si="37"/>
        <v>0.64745000000000008</v>
      </c>
      <c r="L256" s="36">
        <f t="shared" si="37"/>
        <v>0.81189999999999996</v>
      </c>
      <c r="M256" s="36">
        <f t="shared" si="37"/>
        <v>0.99417500000000003</v>
      </c>
      <c r="N256" s="36" t="str">
        <f t="shared" si="37"/>
        <v>-</v>
      </c>
      <c r="O256" s="36" t="str">
        <f t="shared" si="37"/>
        <v>-</v>
      </c>
      <c r="P256" s="36" t="str">
        <f t="shared" si="37"/>
        <v>-</v>
      </c>
      <c r="Q256" s="36" t="str">
        <f t="shared" si="37"/>
        <v>-</v>
      </c>
      <c r="R256" s="36" t="str">
        <f t="shared" si="37"/>
        <v>-</v>
      </c>
      <c r="S256" s="36" t="str">
        <f t="shared" si="37"/>
        <v>-</v>
      </c>
      <c r="T256" s="36" t="str">
        <f t="shared" si="38"/>
        <v>-</v>
      </c>
      <c r="U256" s="36" t="str">
        <f t="shared" si="38"/>
        <v>-</v>
      </c>
      <c r="V256" s="36" t="str">
        <f t="shared" si="38"/>
        <v>-</v>
      </c>
      <c r="W256" s="36" t="str">
        <f t="shared" si="38"/>
        <v>-</v>
      </c>
      <c r="X256" s="36" t="str">
        <f t="shared" si="38"/>
        <v>-</v>
      </c>
      <c r="Y256" s="36" t="str">
        <f t="shared" si="38"/>
        <v>-</v>
      </c>
      <c r="Z256" s="36" t="str">
        <f t="shared" si="38"/>
        <v>-</v>
      </c>
    </row>
    <row r="257" spans="1:26" x14ac:dyDescent="0.55000000000000004">
      <c r="A257" s="83"/>
      <c r="B257" s="83"/>
      <c r="C257" s="15">
        <v>6</v>
      </c>
      <c r="D257" s="36">
        <f t="shared" si="37"/>
        <v>9.1200000000000003E-2</v>
      </c>
      <c r="E257" s="36">
        <f t="shared" si="37"/>
        <v>0.12539999999999998</v>
      </c>
      <c r="F257" s="36">
        <f t="shared" si="37"/>
        <v>0.15539999999999998</v>
      </c>
      <c r="G257" s="36">
        <f t="shared" si="37"/>
        <v>0.19800000000000001</v>
      </c>
      <c r="H257" s="36">
        <f t="shared" si="37"/>
        <v>0.29159999999999997</v>
      </c>
      <c r="I257" s="36">
        <f t="shared" si="37"/>
        <v>0.39960000000000007</v>
      </c>
      <c r="J257" s="36">
        <f t="shared" si="37"/>
        <v>0.52439999999999998</v>
      </c>
      <c r="K257" s="36">
        <f t="shared" si="37"/>
        <v>0.67559999999999998</v>
      </c>
      <c r="L257" s="36">
        <f t="shared" si="37"/>
        <v>0.84719999999999995</v>
      </c>
      <c r="M257" s="36">
        <f t="shared" si="37"/>
        <v>1.0373999999999999</v>
      </c>
      <c r="N257" s="36">
        <f t="shared" si="37"/>
        <v>1.2498</v>
      </c>
      <c r="O257" s="36" t="str">
        <f t="shared" si="37"/>
        <v>-</v>
      </c>
      <c r="P257" s="36" t="str">
        <f t="shared" si="37"/>
        <v>-</v>
      </c>
      <c r="Q257" s="36" t="str">
        <f t="shared" si="37"/>
        <v>-</v>
      </c>
      <c r="R257" s="36" t="str">
        <f t="shared" si="37"/>
        <v>-</v>
      </c>
      <c r="S257" s="36" t="str">
        <f t="shared" si="37"/>
        <v>-</v>
      </c>
      <c r="T257" s="36" t="str">
        <f t="shared" si="38"/>
        <v>-</v>
      </c>
      <c r="U257" s="36" t="str">
        <f t="shared" si="38"/>
        <v>-</v>
      </c>
      <c r="V257" s="36" t="str">
        <f t="shared" si="38"/>
        <v>-</v>
      </c>
      <c r="W257" s="36" t="str">
        <f t="shared" si="38"/>
        <v>-</v>
      </c>
      <c r="X257" s="36" t="str">
        <f t="shared" si="38"/>
        <v>-</v>
      </c>
      <c r="Y257" s="36" t="str">
        <f t="shared" si="38"/>
        <v>-</v>
      </c>
      <c r="Z257" s="36" t="str">
        <f t="shared" si="38"/>
        <v>-</v>
      </c>
    </row>
    <row r="258" spans="1:26" x14ac:dyDescent="0.55000000000000004">
      <c r="A258" s="83"/>
      <c r="B258" s="83"/>
      <c r="C258" s="15">
        <v>6.25</v>
      </c>
      <c r="D258" s="36">
        <f t="shared" si="37"/>
        <v>9.5000000000000001E-2</v>
      </c>
      <c r="E258" s="36">
        <f t="shared" si="37"/>
        <v>0.13062499999999999</v>
      </c>
      <c r="F258" s="36">
        <f t="shared" si="37"/>
        <v>0.16187499999999999</v>
      </c>
      <c r="G258" s="36">
        <f t="shared" si="37"/>
        <v>0.20625000000000002</v>
      </c>
      <c r="H258" s="36">
        <f t="shared" si="37"/>
        <v>0.30374999999999996</v>
      </c>
      <c r="I258" s="36">
        <f t="shared" si="37"/>
        <v>0.41625000000000006</v>
      </c>
      <c r="J258" s="36">
        <f t="shared" si="37"/>
        <v>0.54625000000000001</v>
      </c>
      <c r="K258" s="36">
        <f t="shared" si="37"/>
        <v>0.70374999999999999</v>
      </c>
      <c r="L258" s="36">
        <f t="shared" si="37"/>
        <v>0.88249999999999995</v>
      </c>
      <c r="M258" s="36">
        <f t="shared" si="37"/>
        <v>1.0806249999999999</v>
      </c>
      <c r="N258" s="36">
        <f t="shared" si="37"/>
        <v>1.3018750000000001</v>
      </c>
      <c r="O258" s="36" t="str">
        <f t="shared" si="37"/>
        <v>-</v>
      </c>
      <c r="P258" s="36" t="str">
        <f t="shared" si="37"/>
        <v>-</v>
      </c>
      <c r="Q258" s="36" t="str">
        <f t="shared" si="37"/>
        <v>-</v>
      </c>
      <c r="R258" s="36" t="str">
        <f t="shared" si="37"/>
        <v>-</v>
      </c>
      <c r="S258" s="36" t="str">
        <f t="shared" si="37"/>
        <v>-</v>
      </c>
      <c r="T258" s="36" t="str">
        <f t="shared" si="38"/>
        <v>-</v>
      </c>
      <c r="U258" s="36" t="str">
        <f t="shared" si="38"/>
        <v>-</v>
      </c>
      <c r="V258" s="36" t="str">
        <f t="shared" si="38"/>
        <v>-</v>
      </c>
      <c r="W258" s="36" t="str">
        <f t="shared" si="38"/>
        <v>-</v>
      </c>
      <c r="X258" s="36" t="str">
        <f t="shared" si="38"/>
        <v>-</v>
      </c>
      <c r="Y258" s="36" t="str">
        <f t="shared" si="38"/>
        <v>-</v>
      </c>
      <c r="Z258" s="36" t="str">
        <f t="shared" si="38"/>
        <v>-</v>
      </c>
    </row>
    <row r="259" spans="1:26" x14ac:dyDescent="0.55000000000000004">
      <c r="A259" s="83"/>
      <c r="B259" s="83"/>
      <c r="C259" s="15">
        <v>6.5</v>
      </c>
      <c r="D259" s="36">
        <f t="shared" si="37"/>
        <v>9.8799999999999999E-2</v>
      </c>
      <c r="E259" s="36">
        <f t="shared" si="37"/>
        <v>0.13585</v>
      </c>
      <c r="F259" s="36">
        <f t="shared" si="37"/>
        <v>0.16835</v>
      </c>
      <c r="G259" s="36">
        <f t="shared" si="37"/>
        <v>0.21450000000000002</v>
      </c>
      <c r="H259" s="36">
        <f t="shared" si="37"/>
        <v>0.31589999999999996</v>
      </c>
      <c r="I259" s="36">
        <f t="shared" si="37"/>
        <v>0.43290000000000006</v>
      </c>
      <c r="J259" s="36">
        <f t="shared" si="37"/>
        <v>0.56810000000000005</v>
      </c>
      <c r="K259" s="36">
        <f t="shared" si="37"/>
        <v>0.7319</v>
      </c>
      <c r="L259" s="36">
        <f t="shared" si="37"/>
        <v>0.91779999999999995</v>
      </c>
      <c r="M259" s="36">
        <f t="shared" si="37"/>
        <v>1.12385</v>
      </c>
      <c r="N259" s="36">
        <f t="shared" si="37"/>
        <v>1.35395</v>
      </c>
      <c r="O259" s="36" t="str">
        <f t="shared" si="37"/>
        <v>-</v>
      </c>
      <c r="P259" s="36" t="str">
        <f t="shared" si="37"/>
        <v>-</v>
      </c>
      <c r="Q259" s="36" t="str">
        <f t="shared" si="37"/>
        <v>-</v>
      </c>
      <c r="R259" s="36" t="str">
        <f t="shared" si="37"/>
        <v>-</v>
      </c>
      <c r="S259" s="36" t="str">
        <f t="shared" si="37"/>
        <v>-</v>
      </c>
      <c r="T259" s="36" t="str">
        <f t="shared" si="38"/>
        <v>-</v>
      </c>
      <c r="U259" s="36" t="str">
        <f t="shared" si="38"/>
        <v>-</v>
      </c>
      <c r="V259" s="36" t="str">
        <f t="shared" si="38"/>
        <v>-</v>
      </c>
      <c r="W259" s="36" t="str">
        <f t="shared" si="38"/>
        <v>-</v>
      </c>
      <c r="X259" s="36" t="str">
        <f t="shared" si="38"/>
        <v>-</v>
      </c>
      <c r="Y259" s="36" t="str">
        <f t="shared" si="38"/>
        <v>-</v>
      </c>
      <c r="Z259" s="36" t="str">
        <f t="shared" si="38"/>
        <v>-</v>
      </c>
    </row>
    <row r="260" spans="1:26" x14ac:dyDescent="0.55000000000000004">
      <c r="A260" s="83"/>
      <c r="B260" s="83"/>
      <c r="C260" s="15">
        <v>6.75</v>
      </c>
      <c r="D260" s="36">
        <f t="shared" si="37"/>
        <v>0.1026</v>
      </c>
      <c r="E260" s="36">
        <f t="shared" si="37"/>
        <v>0.14107499999999998</v>
      </c>
      <c r="F260" s="36">
        <f t="shared" si="37"/>
        <v>0.17482500000000001</v>
      </c>
      <c r="G260" s="36">
        <f t="shared" si="37"/>
        <v>0.22275</v>
      </c>
      <c r="H260" s="36">
        <f t="shared" si="37"/>
        <v>0.32805000000000001</v>
      </c>
      <c r="I260" s="36">
        <f t="shared" si="37"/>
        <v>0.44955000000000006</v>
      </c>
      <c r="J260" s="36">
        <f t="shared" si="37"/>
        <v>0.58995000000000009</v>
      </c>
      <c r="K260" s="36">
        <f t="shared" si="37"/>
        <v>0.76005</v>
      </c>
      <c r="L260" s="36">
        <f t="shared" si="37"/>
        <v>0.95309999999999995</v>
      </c>
      <c r="M260" s="36">
        <f t="shared" si="37"/>
        <v>1.1670750000000001</v>
      </c>
      <c r="N260" s="36">
        <f t="shared" si="37"/>
        <v>1.4060250000000001</v>
      </c>
      <c r="O260" s="36">
        <f t="shared" si="37"/>
        <v>1.663875</v>
      </c>
      <c r="P260" s="36" t="str">
        <f t="shared" si="37"/>
        <v>-</v>
      </c>
      <c r="Q260" s="36" t="str">
        <f t="shared" si="37"/>
        <v>-</v>
      </c>
      <c r="R260" s="36" t="str">
        <f t="shared" si="37"/>
        <v>-</v>
      </c>
      <c r="S260" s="36" t="str">
        <f t="shared" si="37"/>
        <v>-</v>
      </c>
      <c r="T260" s="36" t="str">
        <f t="shared" si="38"/>
        <v>-</v>
      </c>
      <c r="U260" s="36" t="str">
        <f t="shared" si="38"/>
        <v>-</v>
      </c>
      <c r="V260" s="36" t="str">
        <f t="shared" si="38"/>
        <v>-</v>
      </c>
      <c r="W260" s="36" t="str">
        <f t="shared" si="38"/>
        <v>-</v>
      </c>
      <c r="X260" s="36" t="str">
        <f t="shared" si="38"/>
        <v>-</v>
      </c>
      <c r="Y260" s="36" t="str">
        <f t="shared" si="38"/>
        <v>-</v>
      </c>
      <c r="Z260" s="36" t="str">
        <f t="shared" si="38"/>
        <v>-</v>
      </c>
    </row>
    <row r="261" spans="1:26" x14ac:dyDescent="0.55000000000000004">
      <c r="A261" s="83"/>
      <c r="B261" s="83"/>
      <c r="C261" s="15">
        <v>7</v>
      </c>
      <c r="D261" s="36">
        <f t="shared" si="37"/>
        <v>0.10639999999999999</v>
      </c>
      <c r="E261" s="36">
        <f t="shared" si="37"/>
        <v>0.14629999999999999</v>
      </c>
      <c r="F261" s="36">
        <f t="shared" si="37"/>
        <v>0.18129999999999999</v>
      </c>
      <c r="G261" s="36">
        <f t="shared" si="37"/>
        <v>0.23100000000000001</v>
      </c>
      <c r="H261" s="36">
        <f t="shared" si="37"/>
        <v>0.3402</v>
      </c>
      <c r="I261" s="36">
        <f t="shared" si="37"/>
        <v>0.46620000000000006</v>
      </c>
      <c r="J261" s="36">
        <f t="shared" si="37"/>
        <v>0.61180000000000001</v>
      </c>
      <c r="K261" s="36">
        <f t="shared" si="37"/>
        <v>0.78820000000000001</v>
      </c>
      <c r="L261" s="36">
        <f t="shared" si="37"/>
        <v>0.98839999999999995</v>
      </c>
      <c r="M261" s="36">
        <f t="shared" si="37"/>
        <v>1.2102999999999999</v>
      </c>
      <c r="N261" s="36">
        <f t="shared" si="37"/>
        <v>1.4581000000000002</v>
      </c>
      <c r="O261" s="36">
        <f t="shared" si="37"/>
        <v>1.7255</v>
      </c>
      <c r="P261" s="36">
        <f t="shared" si="37"/>
        <v>2.0202</v>
      </c>
      <c r="Q261" s="36" t="str">
        <f t="shared" si="37"/>
        <v>-</v>
      </c>
      <c r="R261" s="36" t="str">
        <f t="shared" si="37"/>
        <v>-</v>
      </c>
      <c r="S261" s="36" t="str">
        <f t="shared" si="37"/>
        <v>-</v>
      </c>
      <c r="T261" s="36" t="str">
        <f t="shared" si="38"/>
        <v>-</v>
      </c>
      <c r="U261" s="36" t="str">
        <f t="shared" si="38"/>
        <v>-</v>
      </c>
      <c r="V261" s="36" t="str">
        <f t="shared" si="38"/>
        <v>-</v>
      </c>
      <c r="W261" s="36" t="str">
        <f t="shared" si="38"/>
        <v>-</v>
      </c>
      <c r="X261" s="36" t="str">
        <f t="shared" si="38"/>
        <v>-</v>
      </c>
      <c r="Y261" s="36" t="str">
        <f t="shared" si="38"/>
        <v>-</v>
      </c>
      <c r="Z261" s="36" t="str">
        <f t="shared" si="38"/>
        <v>-</v>
      </c>
    </row>
    <row r="262" spans="1:26" x14ac:dyDescent="0.55000000000000004">
      <c r="A262" s="83"/>
      <c r="B262" s="83"/>
      <c r="C262" s="15">
        <v>7.25</v>
      </c>
      <c r="D262" s="36">
        <f t="shared" si="37"/>
        <v>0.11020000000000001</v>
      </c>
      <c r="E262" s="36">
        <f t="shared" si="37"/>
        <v>0.15152499999999999</v>
      </c>
      <c r="F262" s="36">
        <f t="shared" si="37"/>
        <v>0.187775</v>
      </c>
      <c r="G262" s="36">
        <f t="shared" si="37"/>
        <v>0.23925000000000002</v>
      </c>
      <c r="H262" s="36">
        <f t="shared" si="37"/>
        <v>0.35235</v>
      </c>
      <c r="I262" s="36">
        <f t="shared" si="37"/>
        <v>0.48285000000000006</v>
      </c>
      <c r="J262" s="36">
        <f t="shared" si="37"/>
        <v>0.63365000000000005</v>
      </c>
      <c r="K262" s="36">
        <f t="shared" si="37"/>
        <v>0.81635000000000002</v>
      </c>
      <c r="L262" s="36">
        <f t="shared" si="37"/>
        <v>1.0236999999999998</v>
      </c>
      <c r="M262" s="36">
        <f t="shared" si="37"/>
        <v>1.253525</v>
      </c>
      <c r="N262" s="36">
        <f t="shared" si="37"/>
        <v>1.510175</v>
      </c>
      <c r="O262" s="36">
        <f t="shared" si="37"/>
        <v>1.7871250000000001</v>
      </c>
      <c r="P262" s="36">
        <f t="shared" si="37"/>
        <v>2.0923500000000002</v>
      </c>
      <c r="Q262" s="36" t="str">
        <f t="shared" si="37"/>
        <v>-</v>
      </c>
      <c r="R262" s="36" t="str">
        <f t="shared" si="37"/>
        <v>-</v>
      </c>
      <c r="S262" s="36" t="str">
        <f t="shared" si="37"/>
        <v>-</v>
      </c>
      <c r="T262" s="36" t="str">
        <f t="shared" si="38"/>
        <v>-</v>
      </c>
      <c r="U262" s="36" t="str">
        <f t="shared" si="38"/>
        <v>-</v>
      </c>
      <c r="V262" s="36" t="str">
        <f t="shared" si="38"/>
        <v>-</v>
      </c>
      <c r="W262" s="36" t="str">
        <f t="shared" si="38"/>
        <v>-</v>
      </c>
      <c r="X262" s="36" t="str">
        <f t="shared" si="38"/>
        <v>-</v>
      </c>
      <c r="Y262" s="36" t="str">
        <f t="shared" si="38"/>
        <v>-</v>
      </c>
      <c r="Z262" s="36" t="str">
        <f t="shared" si="38"/>
        <v>-</v>
      </c>
    </row>
    <row r="263" spans="1:26" x14ac:dyDescent="0.55000000000000004">
      <c r="A263" s="83"/>
      <c r="B263" s="83"/>
      <c r="C263" s="15">
        <v>7.5</v>
      </c>
      <c r="D263" s="36">
        <f t="shared" si="37"/>
        <v>0.114</v>
      </c>
      <c r="E263" s="36">
        <f t="shared" si="37"/>
        <v>0.15675</v>
      </c>
      <c r="F263" s="36">
        <f t="shared" si="37"/>
        <v>0.19425000000000001</v>
      </c>
      <c r="G263" s="36">
        <f t="shared" si="37"/>
        <v>0.2475</v>
      </c>
      <c r="H263" s="36">
        <f t="shared" si="37"/>
        <v>0.36449999999999999</v>
      </c>
      <c r="I263" s="36">
        <f t="shared" si="37"/>
        <v>0.49950000000000006</v>
      </c>
      <c r="J263" s="36">
        <f t="shared" si="37"/>
        <v>0.65550000000000008</v>
      </c>
      <c r="K263" s="36">
        <f t="shared" si="37"/>
        <v>0.84450000000000003</v>
      </c>
      <c r="L263" s="36">
        <f t="shared" si="37"/>
        <v>1.0589999999999999</v>
      </c>
      <c r="M263" s="36">
        <f t="shared" si="37"/>
        <v>1.2967500000000001</v>
      </c>
      <c r="N263" s="36">
        <f t="shared" si="37"/>
        <v>1.5622500000000001</v>
      </c>
      <c r="O263" s="36">
        <f t="shared" si="37"/>
        <v>1.8487499999999999</v>
      </c>
      <c r="P263" s="36">
        <f t="shared" si="37"/>
        <v>2.1645000000000003</v>
      </c>
      <c r="Q263" s="36">
        <f t="shared" si="37"/>
        <v>2.496</v>
      </c>
      <c r="R263" s="36" t="str">
        <f t="shared" si="37"/>
        <v>-</v>
      </c>
      <c r="S263" s="36" t="str">
        <f t="shared" si="37"/>
        <v>-</v>
      </c>
      <c r="T263" s="36" t="str">
        <f t="shared" si="38"/>
        <v>-</v>
      </c>
      <c r="U263" s="36" t="str">
        <f t="shared" si="38"/>
        <v>-</v>
      </c>
      <c r="V263" s="36" t="str">
        <f t="shared" si="38"/>
        <v>-</v>
      </c>
      <c r="W263" s="36" t="str">
        <f t="shared" si="38"/>
        <v>-</v>
      </c>
      <c r="X263" s="36" t="str">
        <f t="shared" si="38"/>
        <v>-</v>
      </c>
      <c r="Y263" s="36" t="str">
        <f t="shared" si="38"/>
        <v>-</v>
      </c>
      <c r="Z263" s="36" t="str">
        <f t="shared" si="38"/>
        <v>-</v>
      </c>
    </row>
    <row r="264" spans="1:26" x14ac:dyDescent="0.55000000000000004">
      <c r="A264" s="83"/>
      <c r="B264" s="83"/>
      <c r="C264" s="15">
        <v>7.75</v>
      </c>
      <c r="D264" s="36">
        <f t="shared" si="37"/>
        <v>0.1178</v>
      </c>
      <c r="E264" s="36">
        <f t="shared" si="37"/>
        <v>0.16197499999999998</v>
      </c>
      <c r="F264" s="36">
        <f t="shared" si="37"/>
        <v>0.20072499999999999</v>
      </c>
      <c r="G264" s="36">
        <f t="shared" si="37"/>
        <v>0.25575000000000003</v>
      </c>
      <c r="H264" s="36">
        <f t="shared" si="37"/>
        <v>0.37664999999999998</v>
      </c>
      <c r="I264" s="36">
        <f t="shared" si="37"/>
        <v>0.51615</v>
      </c>
      <c r="J264" s="36">
        <f t="shared" si="37"/>
        <v>0.67735000000000001</v>
      </c>
      <c r="K264" s="36">
        <f t="shared" si="37"/>
        <v>0.87265000000000004</v>
      </c>
      <c r="L264" s="36">
        <f t="shared" si="37"/>
        <v>1.0943000000000001</v>
      </c>
      <c r="M264" s="36">
        <f t="shared" si="37"/>
        <v>1.3399749999999999</v>
      </c>
      <c r="N264" s="36">
        <f t="shared" si="37"/>
        <v>1.614325</v>
      </c>
      <c r="O264" s="36">
        <f t="shared" si="37"/>
        <v>1.9103749999999999</v>
      </c>
      <c r="P264" s="36">
        <f t="shared" si="37"/>
        <v>2.23665</v>
      </c>
      <c r="Q264" s="36">
        <f t="shared" si="37"/>
        <v>2.5791999999999997</v>
      </c>
      <c r="R264" s="36" t="str">
        <f t="shared" si="37"/>
        <v>-</v>
      </c>
      <c r="S264" s="36" t="str">
        <f t="shared" si="37"/>
        <v>-</v>
      </c>
      <c r="T264" s="36" t="str">
        <f t="shared" si="38"/>
        <v>-</v>
      </c>
      <c r="U264" s="36" t="str">
        <f t="shared" si="38"/>
        <v>-</v>
      </c>
      <c r="V264" s="36" t="str">
        <f t="shared" si="38"/>
        <v>-</v>
      </c>
      <c r="W264" s="36" t="str">
        <f t="shared" si="38"/>
        <v>-</v>
      </c>
      <c r="X264" s="36" t="str">
        <f t="shared" si="38"/>
        <v>-</v>
      </c>
      <c r="Y264" s="36" t="str">
        <f t="shared" si="38"/>
        <v>-</v>
      </c>
      <c r="Z264" s="36" t="str">
        <f t="shared" si="38"/>
        <v>-</v>
      </c>
    </row>
    <row r="265" spans="1:26" x14ac:dyDescent="0.55000000000000004">
      <c r="A265" s="83"/>
      <c r="B265" s="83"/>
      <c r="C265" s="15">
        <v>8</v>
      </c>
      <c r="D265" s="36">
        <f t="shared" si="37"/>
        <v>0.1216</v>
      </c>
      <c r="E265" s="36">
        <f t="shared" si="37"/>
        <v>0.16719999999999999</v>
      </c>
      <c r="F265" s="36">
        <f t="shared" si="37"/>
        <v>0.2072</v>
      </c>
      <c r="G265" s="36">
        <f t="shared" si="37"/>
        <v>0.26400000000000001</v>
      </c>
      <c r="H265" s="36">
        <f t="shared" si="37"/>
        <v>0.38879999999999998</v>
      </c>
      <c r="I265" s="36">
        <f t="shared" si="37"/>
        <v>0.53280000000000005</v>
      </c>
      <c r="J265" s="36">
        <f t="shared" si="37"/>
        <v>0.69920000000000004</v>
      </c>
      <c r="K265" s="36">
        <f t="shared" si="37"/>
        <v>0.90080000000000005</v>
      </c>
      <c r="L265" s="36">
        <f t="shared" si="37"/>
        <v>1.1295999999999999</v>
      </c>
      <c r="M265" s="36">
        <f t="shared" si="37"/>
        <v>1.3832</v>
      </c>
      <c r="N265" s="36">
        <f t="shared" si="37"/>
        <v>1.6664000000000001</v>
      </c>
      <c r="O265" s="36">
        <f t="shared" si="37"/>
        <v>1.972</v>
      </c>
      <c r="P265" s="36">
        <f t="shared" si="37"/>
        <v>2.3088000000000002</v>
      </c>
      <c r="Q265" s="36">
        <f t="shared" si="37"/>
        <v>2.6623999999999999</v>
      </c>
      <c r="R265" s="36">
        <f t="shared" si="37"/>
        <v>3.0367999999999999</v>
      </c>
      <c r="S265" s="36" t="str">
        <f t="shared" si="37"/>
        <v>-</v>
      </c>
      <c r="T265" s="36" t="str">
        <f t="shared" si="38"/>
        <v>-</v>
      </c>
      <c r="U265" s="36" t="str">
        <f t="shared" si="38"/>
        <v>-</v>
      </c>
      <c r="V265" s="36" t="str">
        <f t="shared" si="38"/>
        <v>-</v>
      </c>
      <c r="W265" s="36" t="str">
        <f t="shared" si="38"/>
        <v>-</v>
      </c>
      <c r="X265" s="36" t="str">
        <f t="shared" si="38"/>
        <v>-</v>
      </c>
      <c r="Y265" s="36" t="str">
        <f t="shared" si="38"/>
        <v>-</v>
      </c>
      <c r="Z265" s="36" t="str">
        <f t="shared" si="38"/>
        <v>-</v>
      </c>
    </row>
    <row r="266" spans="1:26" x14ac:dyDescent="0.55000000000000004">
      <c r="A266" s="83"/>
      <c r="B266" s="83"/>
      <c r="C266" s="15">
        <v>8.25</v>
      </c>
      <c r="D266" s="36">
        <f t="shared" si="37"/>
        <v>0.12540000000000001</v>
      </c>
      <c r="E266" s="36">
        <f t="shared" si="37"/>
        <v>0.17242499999999999</v>
      </c>
      <c r="F266" s="36">
        <f t="shared" si="37"/>
        <v>0.213675</v>
      </c>
      <c r="G266" s="36">
        <f t="shared" si="37"/>
        <v>0.27224999999999999</v>
      </c>
      <c r="H266" s="36">
        <f t="shared" si="37"/>
        <v>0.40094999999999997</v>
      </c>
      <c r="I266" s="36">
        <f t="shared" si="37"/>
        <v>0.5494500000000001</v>
      </c>
      <c r="J266" s="36">
        <f t="shared" si="37"/>
        <v>0.72105000000000008</v>
      </c>
      <c r="K266" s="36">
        <f t="shared" si="37"/>
        <v>0.92895000000000005</v>
      </c>
      <c r="L266" s="36">
        <f t="shared" si="37"/>
        <v>1.1648999999999998</v>
      </c>
      <c r="M266" s="36">
        <f t="shared" si="37"/>
        <v>1.4264250000000001</v>
      </c>
      <c r="N266" s="36">
        <f t="shared" si="37"/>
        <v>1.7184750000000002</v>
      </c>
      <c r="O266" s="36">
        <f t="shared" si="37"/>
        <v>2.0336249999999998</v>
      </c>
      <c r="P266" s="36">
        <f t="shared" si="37"/>
        <v>2.3809500000000003</v>
      </c>
      <c r="Q266" s="36">
        <f t="shared" si="37"/>
        <v>2.7456</v>
      </c>
      <c r="R266" s="36">
        <f t="shared" si="37"/>
        <v>3.1316999999999999</v>
      </c>
      <c r="S266" s="36" t="str">
        <f t="shared" si="37"/>
        <v>-</v>
      </c>
      <c r="T266" s="36" t="str">
        <f t="shared" si="38"/>
        <v>-</v>
      </c>
      <c r="U266" s="36" t="str">
        <f t="shared" si="38"/>
        <v>-</v>
      </c>
      <c r="V266" s="36" t="str">
        <f t="shared" si="38"/>
        <v>-</v>
      </c>
      <c r="W266" s="36" t="str">
        <f t="shared" si="38"/>
        <v>-</v>
      </c>
      <c r="X266" s="36" t="str">
        <f t="shared" si="38"/>
        <v>-</v>
      </c>
      <c r="Y266" s="36" t="str">
        <f t="shared" si="38"/>
        <v>-</v>
      </c>
      <c r="Z266" s="36" t="str">
        <f t="shared" si="38"/>
        <v>-</v>
      </c>
    </row>
    <row r="267" spans="1:26" x14ac:dyDescent="0.55000000000000004">
      <c r="A267" s="83"/>
      <c r="B267" s="83"/>
      <c r="C267" s="15">
        <v>8.5</v>
      </c>
      <c r="D267" s="36">
        <f t="shared" si="37"/>
        <v>0.12920000000000001</v>
      </c>
      <c r="E267" s="36">
        <f t="shared" si="37"/>
        <v>0.17764999999999997</v>
      </c>
      <c r="F267" s="36">
        <f t="shared" si="37"/>
        <v>0.22014999999999998</v>
      </c>
      <c r="G267" s="36">
        <f t="shared" si="37"/>
        <v>0.28050000000000003</v>
      </c>
      <c r="H267" s="36">
        <f t="shared" si="37"/>
        <v>0.41309999999999997</v>
      </c>
      <c r="I267" s="36">
        <f t="shared" si="37"/>
        <v>0.56610000000000005</v>
      </c>
      <c r="J267" s="36">
        <f t="shared" si="37"/>
        <v>0.7429</v>
      </c>
      <c r="K267" s="36">
        <f t="shared" si="37"/>
        <v>0.95710000000000006</v>
      </c>
      <c r="L267" s="36">
        <f t="shared" si="37"/>
        <v>1.2001999999999999</v>
      </c>
      <c r="M267" s="36">
        <f t="shared" si="37"/>
        <v>1.4696499999999999</v>
      </c>
      <c r="N267" s="36">
        <f t="shared" si="37"/>
        <v>1.7705500000000001</v>
      </c>
      <c r="O267" s="36">
        <f t="shared" si="37"/>
        <v>2.0952500000000001</v>
      </c>
      <c r="P267" s="36">
        <f t="shared" si="37"/>
        <v>2.4531000000000001</v>
      </c>
      <c r="Q267" s="36">
        <f t="shared" si="37"/>
        <v>2.8287999999999998</v>
      </c>
      <c r="R267" s="36">
        <f t="shared" si="37"/>
        <v>3.2265999999999999</v>
      </c>
      <c r="S267" s="36" t="str">
        <f t="shared" si="37"/>
        <v>-</v>
      </c>
      <c r="T267" s="36" t="str">
        <f t="shared" si="38"/>
        <v>-</v>
      </c>
      <c r="U267" s="36" t="str">
        <f t="shared" si="38"/>
        <v>-</v>
      </c>
      <c r="V267" s="36" t="str">
        <f t="shared" si="38"/>
        <v>-</v>
      </c>
      <c r="W267" s="36" t="str">
        <f t="shared" si="38"/>
        <v>-</v>
      </c>
      <c r="X267" s="36" t="str">
        <f t="shared" si="38"/>
        <v>-</v>
      </c>
      <c r="Y267" s="36" t="str">
        <f t="shared" si="38"/>
        <v>-</v>
      </c>
      <c r="Z267" s="36" t="str">
        <f t="shared" si="38"/>
        <v>-</v>
      </c>
    </row>
    <row r="268" spans="1:26" x14ac:dyDescent="0.55000000000000004">
      <c r="A268" s="83"/>
      <c r="B268" s="83"/>
      <c r="C268" s="15">
        <v>8.75</v>
      </c>
      <c r="D268" s="36">
        <f t="shared" si="37"/>
        <v>0.13300000000000001</v>
      </c>
      <c r="E268" s="36">
        <f t="shared" si="37"/>
        <v>0.18287499999999998</v>
      </c>
      <c r="F268" s="36">
        <f t="shared" si="37"/>
        <v>0.22662499999999999</v>
      </c>
      <c r="G268" s="36">
        <f t="shared" si="37"/>
        <v>0.28875000000000001</v>
      </c>
      <c r="H268" s="36">
        <f t="shared" ref="H268:W268" si="39">IF($C268&gt;=(4*H$238),(($C268*H$240)*1),"-")</f>
        <v>0.42524999999999996</v>
      </c>
      <c r="I268" s="36">
        <f t="shared" si="39"/>
        <v>0.5827500000000001</v>
      </c>
      <c r="J268" s="36">
        <f t="shared" si="39"/>
        <v>0.76475000000000004</v>
      </c>
      <c r="K268" s="36">
        <f t="shared" si="39"/>
        <v>0.98525000000000007</v>
      </c>
      <c r="L268" s="36">
        <f t="shared" si="39"/>
        <v>1.2355</v>
      </c>
      <c r="M268" s="36">
        <f t="shared" si="39"/>
        <v>1.512875</v>
      </c>
      <c r="N268" s="36">
        <f t="shared" si="39"/>
        <v>1.8226250000000002</v>
      </c>
      <c r="O268" s="36">
        <f t="shared" si="39"/>
        <v>2.1568749999999999</v>
      </c>
      <c r="P268" s="36">
        <f t="shared" si="39"/>
        <v>2.5252500000000002</v>
      </c>
      <c r="Q268" s="36">
        <f t="shared" si="39"/>
        <v>2.9119999999999999</v>
      </c>
      <c r="R268" s="36">
        <f t="shared" si="39"/>
        <v>3.3214999999999999</v>
      </c>
      <c r="S268" s="36" t="str">
        <f t="shared" si="39"/>
        <v>-</v>
      </c>
      <c r="T268" s="36" t="str">
        <f t="shared" si="39"/>
        <v>-</v>
      </c>
      <c r="U268" s="36" t="str">
        <f t="shared" si="39"/>
        <v>-</v>
      </c>
      <c r="V268" s="36" t="str">
        <f t="shared" si="39"/>
        <v>-</v>
      </c>
      <c r="W268" s="36" t="str">
        <f t="shared" si="39"/>
        <v>-</v>
      </c>
      <c r="X268" s="36" t="str">
        <f t="shared" si="38"/>
        <v>-</v>
      </c>
      <c r="Y268" s="36" t="str">
        <f t="shared" si="38"/>
        <v>-</v>
      </c>
      <c r="Z268" s="36" t="str">
        <f t="shared" si="38"/>
        <v>-</v>
      </c>
    </row>
    <row r="269" spans="1:26" x14ac:dyDescent="0.55000000000000004">
      <c r="A269" s="83"/>
      <c r="B269" s="83"/>
      <c r="C269" s="15">
        <v>9</v>
      </c>
      <c r="D269" s="36">
        <f t="shared" ref="D269:S284" si="40">IF($C269&gt;=(4*D$238),(($C269*D$240)*1),"-")</f>
        <v>0.1368</v>
      </c>
      <c r="E269" s="36">
        <f t="shared" si="40"/>
        <v>0.18809999999999999</v>
      </c>
      <c r="F269" s="36">
        <f t="shared" si="40"/>
        <v>0.2331</v>
      </c>
      <c r="G269" s="36">
        <f t="shared" si="40"/>
        <v>0.29700000000000004</v>
      </c>
      <c r="H269" s="36">
        <f t="shared" si="40"/>
        <v>0.43739999999999996</v>
      </c>
      <c r="I269" s="36">
        <f t="shared" si="40"/>
        <v>0.59940000000000004</v>
      </c>
      <c r="J269" s="36">
        <f t="shared" si="40"/>
        <v>0.78660000000000008</v>
      </c>
      <c r="K269" s="36">
        <f t="shared" si="40"/>
        <v>1.0134000000000001</v>
      </c>
      <c r="L269" s="36">
        <f t="shared" si="40"/>
        <v>1.2707999999999999</v>
      </c>
      <c r="M269" s="36">
        <f t="shared" si="40"/>
        <v>1.5561</v>
      </c>
      <c r="N269" s="36">
        <f t="shared" si="40"/>
        <v>1.8747</v>
      </c>
      <c r="O269" s="36">
        <f t="shared" si="40"/>
        <v>2.2185000000000001</v>
      </c>
      <c r="P269" s="36">
        <f t="shared" si="40"/>
        <v>2.5974000000000004</v>
      </c>
      <c r="Q269" s="36">
        <f t="shared" si="40"/>
        <v>2.9951999999999996</v>
      </c>
      <c r="R269" s="36">
        <f t="shared" si="40"/>
        <v>3.4163999999999999</v>
      </c>
      <c r="S269" s="36">
        <f t="shared" si="40"/>
        <v>4.3757999999999999</v>
      </c>
      <c r="T269" s="36" t="str">
        <f t="shared" ref="T269:W283" si="41">IF($C269&gt;=(4*T$238),(($C269*T$240)*1),"-")</f>
        <v>-</v>
      </c>
      <c r="U269" s="36" t="str">
        <f t="shared" si="41"/>
        <v>-</v>
      </c>
      <c r="V269" s="36" t="str">
        <f t="shared" si="41"/>
        <v>-</v>
      </c>
      <c r="W269" s="36" t="str">
        <f t="shared" si="41"/>
        <v>-</v>
      </c>
      <c r="X269" s="36" t="str">
        <f t="shared" si="38"/>
        <v>-</v>
      </c>
      <c r="Y269" s="36" t="str">
        <f t="shared" si="38"/>
        <v>-</v>
      </c>
      <c r="Z269" s="36" t="str">
        <f t="shared" si="38"/>
        <v>-</v>
      </c>
    </row>
    <row r="270" spans="1:26" x14ac:dyDescent="0.55000000000000004">
      <c r="A270" s="83"/>
      <c r="B270" s="83"/>
      <c r="C270" s="15">
        <v>9.25</v>
      </c>
      <c r="D270" s="36">
        <f t="shared" si="40"/>
        <v>0.1406</v>
      </c>
      <c r="E270" s="36">
        <f t="shared" si="40"/>
        <v>0.193325</v>
      </c>
      <c r="F270" s="36">
        <f t="shared" si="40"/>
        <v>0.23957499999999998</v>
      </c>
      <c r="G270" s="36">
        <f t="shared" si="40"/>
        <v>0.30525000000000002</v>
      </c>
      <c r="H270" s="36">
        <f t="shared" si="40"/>
        <v>0.44954999999999995</v>
      </c>
      <c r="I270" s="36">
        <f t="shared" si="40"/>
        <v>0.6160500000000001</v>
      </c>
      <c r="J270" s="36">
        <f t="shared" si="40"/>
        <v>0.80845</v>
      </c>
      <c r="K270" s="36">
        <f t="shared" si="40"/>
        <v>1.04155</v>
      </c>
      <c r="L270" s="36">
        <f t="shared" si="40"/>
        <v>1.3060999999999998</v>
      </c>
      <c r="M270" s="36">
        <f t="shared" si="40"/>
        <v>1.5993249999999999</v>
      </c>
      <c r="N270" s="36">
        <f t="shared" si="40"/>
        <v>1.9267750000000001</v>
      </c>
      <c r="O270" s="36">
        <f t="shared" si="40"/>
        <v>2.280125</v>
      </c>
      <c r="P270" s="36">
        <f t="shared" si="40"/>
        <v>2.6695500000000001</v>
      </c>
      <c r="Q270" s="36">
        <f t="shared" si="40"/>
        <v>3.0783999999999998</v>
      </c>
      <c r="R270" s="36">
        <f t="shared" si="40"/>
        <v>3.5112999999999999</v>
      </c>
      <c r="S270" s="36">
        <f t="shared" si="40"/>
        <v>4.49735</v>
      </c>
      <c r="T270" s="36" t="str">
        <f t="shared" si="41"/>
        <v>-</v>
      </c>
      <c r="U270" s="36" t="str">
        <f t="shared" si="41"/>
        <v>-</v>
      </c>
      <c r="V270" s="36" t="str">
        <f t="shared" si="41"/>
        <v>-</v>
      </c>
      <c r="W270" s="36" t="str">
        <f t="shared" si="41"/>
        <v>-</v>
      </c>
      <c r="X270" s="36" t="str">
        <f t="shared" si="38"/>
        <v>-</v>
      </c>
      <c r="Y270" s="36" t="str">
        <f t="shared" si="38"/>
        <v>-</v>
      </c>
      <c r="Z270" s="36" t="str">
        <f t="shared" si="38"/>
        <v>-</v>
      </c>
    </row>
    <row r="271" spans="1:26" x14ac:dyDescent="0.55000000000000004">
      <c r="A271" s="83"/>
      <c r="B271" s="83"/>
      <c r="C271" s="15">
        <v>9.5</v>
      </c>
      <c r="D271" s="36">
        <f t="shared" si="40"/>
        <v>0.1444</v>
      </c>
      <c r="E271" s="36">
        <f t="shared" si="40"/>
        <v>0.19854999999999998</v>
      </c>
      <c r="F271" s="36">
        <f t="shared" si="40"/>
        <v>0.24604999999999999</v>
      </c>
      <c r="G271" s="36">
        <f t="shared" si="40"/>
        <v>0.3135</v>
      </c>
      <c r="H271" s="36">
        <f t="shared" si="40"/>
        <v>0.4617</v>
      </c>
      <c r="I271" s="36">
        <f t="shared" si="40"/>
        <v>0.63270000000000004</v>
      </c>
      <c r="J271" s="36">
        <f t="shared" si="40"/>
        <v>0.83030000000000004</v>
      </c>
      <c r="K271" s="36">
        <f t="shared" si="40"/>
        <v>1.0697000000000001</v>
      </c>
      <c r="L271" s="36">
        <f t="shared" si="40"/>
        <v>1.3413999999999999</v>
      </c>
      <c r="M271" s="36">
        <f t="shared" si="40"/>
        <v>1.64255</v>
      </c>
      <c r="N271" s="36">
        <f t="shared" si="40"/>
        <v>1.9788500000000002</v>
      </c>
      <c r="O271" s="36">
        <f t="shared" si="40"/>
        <v>2.3417499999999998</v>
      </c>
      <c r="P271" s="36">
        <f t="shared" si="40"/>
        <v>2.7417000000000002</v>
      </c>
      <c r="Q271" s="36">
        <f t="shared" si="40"/>
        <v>3.1616</v>
      </c>
      <c r="R271" s="36">
        <f t="shared" si="40"/>
        <v>3.6061999999999999</v>
      </c>
      <c r="S271" s="36">
        <f t="shared" si="40"/>
        <v>4.6189</v>
      </c>
      <c r="T271" s="36" t="str">
        <f t="shared" si="41"/>
        <v>-</v>
      </c>
      <c r="U271" s="36" t="str">
        <f t="shared" si="41"/>
        <v>-</v>
      </c>
      <c r="V271" s="36" t="str">
        <f t="shared" si="41"/>
        <v>-</v>
      </c>
      <c r="W271" s="36" t="str">
        <f t="shared" si="41"/>
        <v>-</v>
      </c>
      <c r="X271" s="36" t="str">
        <f t="shared" si="38"/>
        <v>-</v>
      </c>
      <c r="Y271" s="36" t="str">
        <f t="shared" si="38"/>
        <v>-</v>
      </c>
      <c r="Z271" s="36" t="str">
        <f t="shared" si="38"/>
        <v>-</v>
      </c>
    </row>
    <row r="272" spans="1:26" x14ac:dyDescent="0.55000000000000004">
      <c r="A272" s="83"/>
      <c r="B272" s="83"/>
      <c r="C272" s="15">
        <v>9.75</v>
      </c>
      <c r="D272" s="36">
        <f t="shared" si="40"/>
        <v>0.1482</v>
      </c>
      <c r="E272" s="36">
        <f t="shared" si="40"/>
        <v>0.20377499999999998</v>
      </c>
      <c r="F272" s="36">
        <f t="shared" si="40"/>
        <v>0.252525</v>
      </c>
      <c r="G272" s="36">
        <f t="shared" si="40"/>
        <v>0.32175000000000004</v>
      </c>
      <c r="H272" s="36">
        <f t="shared" si="40"/>
        <v>0.47384999999999999</v>
      </c>
      <c r="I272" s="36">
        <f t="shared" si="40"/>
        <v>0.64935000000000009</v>
      </c>
      <c r="J272" s="36">
        <f t="shared" si="40"/>
        <v>0.85215000000000007</v>
      </c>
      <c r="K272" s="36">
        <f t="shared" si="40"/>
        <v>1.09785</v>
      </c>
      <c r="L272" s="36">
        <f t="shared" si="40"/>
        <v>1.3767</v>
      </c>
      <c r="M272" s="36">
        <f t="shared" si="40"/>
        <v>1.685775</v>
      </c>
      <c r="N272" s="36">
        <f t="shared" si="40"/>
        <v>2.0309250000000003</v>
      </c>
      <c r="O272" s="36">
        <f t="shared" si="40"/>
        <v>2.403375</v>
      </c>
      <c r="P272" s="36">
        <f t="shared" si="40"/>
        <v>2.8138500000000004</v>
      </c>
      <c r="Q272" s="36">
        <f t="shared" si="40"/>
        <v>3.2447999999999997</v>
      </c>
      <c r="R272" s="36">
        <f t="shared" si="40"/>
        <v>3.7010999999999998</v>
      </c>
      <c r="S272" s="36">
        <f t="shared" si="40"/>
        <v>4.7404500000000001</v>
      </c>
      <c r="T272" s="36" t="str">
        <f t="shared" si="41"/>
        <v>-</v>
      </c>
      <c r="U272" s="36" t="str">
        <f t="shared" si="41"/>
        <v>-</v>
      </c>
      <c r="V272" s="36" t="str">
        <f t="shared" si="41"/>
        <v>-</v>
      </c>
      <c r="W272" s="36" t="str">
        <f t="shared" si="41"/>
        <v>-</v>
      </c>
      <c r="X272" s="36" t="str">
        <f t="shared" si="38"/>
        <v>-</v>
      </c>
      <c r="Y272" s="36" t="str">
        <f t="shared" si="38"/>
        <v>-</v>
      </c>
      <c r="Z272" s="36" t="str">
        <f t="shared" si="38"/>
        <v>-</v>
      </c>
    </row>
    <row r="273" spans="1:26" x14ac:dyDescent="0.55000000000000004">
      <c r="A273" s="83"/>
      <c r="B273" s="83"/>
      <c r="C273" s="15">
        <v>10</v>
      </c>
      <c r="D273" s="36">
        <f t="shared" si="40"/>
        <v>0.152</v>
      </c>
      <c r="E273" s="36">
        <f t="shared" si="40"/>
        <v>0.20899999999999999</v>
      </c>
      <c r="F273" s="36">
        <f t="shared" si="40"/>
        <v>0.25900000000000001</v>
      </c>
      <c r="G273" s="36">
        <f t="shared" si="40"/>
        <v>0.33</v>
      </c>
      <c r="H273" s="36">
        <f t="shared" si="40"/>
        <v>0.48599999999999999</v>
      </c>
      <c r="I273" s="36">
        <f t="shared" si="40"/>
        <v>0.66600000000000004</v>
      </c>
      <c r="J273" s="36">
        <f t="shared" si="40"/>
        <v>0.87400000000000011</v>
      </c>
      <c r="K273" s="36">
        <f t="shared" si="40"/>
        <v>1.1260000000000001</v>
      </c>
      <c r="L273" s="36">
        <f t="shared" si="40"/>
        <v>1.4119999999999999</v>
      </c>
      <c r="M273" s="36">
        <f t="shared" si="40"/>
        <v>1.7290000000000001</v>
      </c>
      <c r="N273" s="36">
        <f t="shared" si="40"/>
        <v>2.0830000000000002</v>
      </c>
      <c r="O273" s="36">
        <f t="shared" si="40"/>
        <v>2.4649999999999999</v>
      </c>
      <c r="P273" s="36">
        <f t="shared" si="40"/>
        <v>2.8860000000000001</v>
      </c>
      <c r="Q273" s="36">
        <f t="shared" si="40"/>
        <v>3.3279999999999998</v>
      </c>
      <c r="R273" s="36">
        <f t="shared" si="40"/>
        <v>3.7959999999999998</v>
      </c>
      <c r="S273" s="36">
        <f t="shared" si="40"/>
        <v>4.8620000000000001</v>
      </c>
      <c r="T273" s="36">
        <f t="shared" si="41"/>
        <v>6.0579999999999998</v>
      </c>
      <c r="U273" s="36" t="str">
        <f t="shared" si="41"/>
        <v>-</v>
      </c>
      <c r="V273" s="36" t="str">
        <f t="shared" si="41"/>
        <v>-</v>
      </c>
      <c r="W273" s="36" t="str">
        <f t="shared" si="41"/>
        <v>-</v>
      </c>
      <c r="X273" s="36" t="str">
        <f t="shared" si="38"/>
        <v>-</v>
      </c>
      <c r="Y273" s="36" t="str">
        <f t="shared" si="38"/>
        <v>-</v>
      </c>
      <c r="Z273" s="36" t="str">
        <f t="shared" si="38"/>
        <v>-</v>
      </c>
    </row>
    <row r="274" spans="1:26" x14ac:dyDescent="0.55000000000000004">
      <c r="A274" s="83"/>
      <c r="B274" s="83"/>
      <c r="C274" s="15">
        <v>10.25</v>
      </c>
      <c r="D274" s="36">
        <f t="shared" si="40"/>
        <v>0.15579999999999999</v>
      </c>
      <c r="E274" s="36">
        <f t="shared" si="40"/>
        <v>0.21422499999999997</v>
      </c>
      <c r="F274" s="36">
        <f t="shared" si="40"/>
        <v>0.26547500000000002</v>
      </c>
      <c r="G274" s="36">
        <f t="shared" si="40"/>
        <v>0.33825</v>
      </c>
      <c r="H274" s="36">
        <f t="shared" si="40"/>
        <v>0.49814999999999998</v>
      </c>
      <c r="I274" s="36">
        <f t="shared" si="40"/>
        <v>0.68265000000000009</v>
      </c>
      <c r="J274" s="36">
        <f t="shared" si="40"/>
        <v>0.89585000000000004</v>
      </c>
      <c r="K274" s="36">
        <f t="shared" si="40"/>
        <v>1.15415</v>
      </c>
      <c r="L274" s="36">
        <f t="shared" si="40"/>
        <v>1.4472999999999998</v>
      </c>
      <c r="M274" s="36">
        <f t="shared" si="40"/>
        <v>1.7722249999999999</v>
      </c>
      <c r="N274" s="36">
        <f t="shared" si="40"/>
        <v>2.1350750000000001</v>
      </c>
      <c r="O274" s="36">
        <f t="shared" si="40"/>
        <v>2.5266250000000001</v>
      </c>
      <c r="P274" s="36">
        <f t="shared" si="40"/>
        <v>2.9581500000000003</v>
      </c>
      <c r="Q274" s="36">
        <f t="shared" si="40"/>
        <v>3.4112</v>
      </c>
      <c r="R274" s="36">
        <f t="shared" si="40"/>
        <v>3.8908999999999998</v>
      </c>
      <c r="S274" s="36">
        <f t="shared" si="40"/>
        <v>4.9835500000000001</v>
      </c>
      <c r="T274" s="36">
        <f t="shared" si="41"/>
        <v>6.2094500000000004</v>
      </c>
      <c r="U274" s="36" t="str">
        <f t="shared" si="41"/>
        <v>-</v>
      </c>
      <c r="V274" s="36" t="str">
        <f t="shared" si="41"/>
        <v>-</v>
      </c>
      <c r="W274" s="36" t="str">
        <f t="shared" si="41"/>
        <v>-</v>
      </c>
      <c r="X274" s="36" t="str">
        <f t="shared" si="38"/>
        <v>-</v>
      </c>
      <c r="Y274" s="36" t="str">
        <f t="shared" si="38"/>
        <v>-</v>
      </c>
      <c r="Z274" s="36" t="str">
        <f t="shared" si="38"/>
        <v>-</v>
      </c>
    </row>
    <row r="275" spans="1:26" x14ac:dyDescent="0.55000000000000004">
      <c r="A275" s="83"/>
      <c r="B275" s="83"/>
      <c r="C275" s="15">
        <v>10.5</v>
      </c>
      <c r="D275" s="36">
        <f t="shared" si="40"/>
        <v>0.15959999999999999</v>
      </c>
      <c r="E275" s="36">
        <f t="shared" si="40"/>
        <v>0.21944999999999998</v>
      </c>
      <c r="F275" s="36">
        <f t="shared" si="40"/>
        <v>0.27194999999999997</v>
      </c>
      <c r="G275" s="36">
        <f t="shared" si="40"/>
        <v>0.34650000000000003</v>
      </c>
      <c r="H275" s="36">
        <f t="shared" si="40"/>
        <v>0.51029999999999998</v>
      </c>
      <c r="I275" s="36">
        <f t="shared" si="40"/>
        <v>0.69930000000000003</v>
      </c>
      <c r="J275" s="36">
        <f t="shared" si="40"/>
        <v>0.91770000000000007</v>
      </c>
      <c r="K275" s="36">
        <f t="shared" si="40"/>
        <v>1.1823000000000001</v>
      </c>
      <c r="L275" s="36">
        <f t="shared" si="40"/>
        <v>1.4825999999999999</v>
      </c>
      <c r="M275" s="36">
        <f t="shared" si="40"/>
        <v>1.81545</v>
      </c>
      <c r="N275" s="36">
        <f t="shared" si="40"/>
        <v>2.1871499999999999</v>
      </c>
      <c r="O275" s="36">
        <f t="shared" si="40"/>
        <v>2.5882499999999999</v>
      </c>
      <c r="P275" s="36">
        <f t="shared" si="40"/>
        <v>3.0303000000000004</v>
      </c>
      <c r="Q275" s="36">
        <f t="shared" si="40"/>
        <v>3.4943999999999997</v>
      </c>
      <c r="R275" s="36">
        <f t="shared" si="40"/>
        <v>3.9857999999999998</v>
      </c>
      <c r="S275" s="36">
        <f t="shared" si="40"/>
        <v>5.1051000000000002</v>
      </c>
      <c r="T275" s="36">
        <f t="shared" si="41"/>
        <v>6.3609</v>
      </c>
      <c r="U275" s="36" t="str">
        <f t="shared" si="41"/>
        <v>-</v>
      </c>
      <c r="V275" s="36" t="str">
        <f t="shared" si="41"/>
        <v>-</v>
      </c>
      <c r="W275" s="36" t="str">
        <f t="shared" si="41"/>
        <v>-</v>
      </c>
      <c r="X275" s="36" t="str">
        <f t="shared" si="38"/>
        <v>-</v>
      </c>
      <c r="Y275" s="36" t="str">
        <f t="shared" si="38"/>
        <v>-</v>
      </c>
      <c r="Z275" s="36" t="str">
        <f t="shared" si="38"/>
        <v>-</v>
      </c>
    </row>
    <row r="276" spans="1:26" x14ac:dyDescent="0.55000000000000004">
      <c r="A276" s="83"/>
      <c r="B276" s="83"/>
      <c r="C276" s="15">
        <v>10.75</v>
      </c>
      <c r="D276" s="36">
        <f t="shared" si="40"/>
        <v>0.16339999999999999</v>
      </c>
      <c r="E276" s="36">
        <f t="shared" si="40"/>
        <v>0.22467499999999999</v>
      </c>
      <c r="F276" s="36">
        <f t="shared" si="40"/>
        <v>0.27842499999999998</v>
      </c>
      <c r="G276" s="36">
        <f t="shared" si="40"/>
        <v>0.35475000000000001</v>
      </c>
      <c r="H276" s="36">
        <f t="shared" si="40"/>
        <v>0.52244999999999997</v>
      </c>
      <c r="I276" s="36">
        <f t="shared" si="40"/>
        <v>0.71595000000000009</v>
      </c>
      <c r="J276" s="36">
        <f t="shared" si="40"/>
        <v>0.93955000000000011</v>
      </c>
      <c r="K276" s="36">
        <f t="shared" si="40"/>
        <v>1.21045</v>
      </c>
      <c r="L276" s="36">
        <f t="shared" si="40"/>
        <v>1.5179</v>
      </c>
      <c r="M276" s="36">
        <f t="shared" si="40"/>
        <v>1.8586750000000001</v>
      </c>
      <c r="N276" s="36">
        <f t="shared" si="40"/>
        <v>2.2392250000000002</v>
      </c>
      <c r="O276" s="36">
        <f t="shared" si="40"/>
        <v>2.6498749999999998</v>
      </c>
      <c r="P276" s="36">
        <f t="shared" si="40"/>
        <v>3.1024500000000002</v>
      </c>
      <c r="Q276" s="36">
        <f t="shared" si="40"/>
        <v>3.5775999999999999</v>
      </c>
      <c r="R276" s="36">
        <f t="shared" si="40"/>
        <v>4.0807000000000002</v>
      </c>
      <c r="S276" s="36">
        <f t="shared" si="40"/>
        <v>5.2266500000000002</v>
      </c>
      <c r="T276" s="36">
        <f t="shared" si="41"/>
        <v>6.5123499999999996</v>
      </c>
      <c r="U276" s="36" t="str">
        <f t="shared" si="41"/>
        <v>-</v>
      </c>
      <c r="V276" s="36" t="str">
        <f t="shared" si="41"/>
        <v>-</v>
      </c>
      <c r="W276" s="36" t="str">
        <f t="shared" si="41"/>
        <v>-</v>
      </c>
      <c r="X276" s="36" t="str">
        <f t="shared" si="38"/>
        <v>-</v>
      </c>
      <c r="Y276" s="36" t="str">
        <f t="shared" si="38"/>
        <v>-</v>
      </c>
      <c r="Z276" s="36" t="str">
        <f t="shared" si="38"/>
        <v>-</v>
      </c>
    </row>
    <row r="277" spans="1:26" x14ac:dyDescent="0.55000000000000004">
      <c r="A277" s="83"/>
      <c r="B277" s="83"/>
      <c r="C277" s="15">
        <v>11</v>
      </c>
      <c r="D277" s="36">
        <f t="shared" si="40"/>
        <v>0.16719999999999999</v>
      </c>
      <c r="E277" s="36">
        <f t="shared" si="40"/>
        <v>0.22989999999999999</v>
      </c>
      <c r="F277" s="36">
        <f t="shared" si="40"/>
        <v>0.28489999999999999</v>
      </c>
      <c r="G277" s="36">
        <f t="shared" si="40"/>
        <v>0.36299999999999999</v>
      </c>
      <c r="H277" s="36">
        <f t="shared" si="40"/>
        <v>0.53459999999999996</v>
      </c>
      <c r="I277" s="36">
        <f t="shared" si="40"/>
        <v>0.73260000000000003</v>
      </c>
      <c r="J277" s="36">
        <f t="shared" si="40"/>
        <v>0.96140000000000003</v>
      </c>
      <c r="K277" s="36">
        <f t="shared" si="40"/>
        <v>1.2386000000000001</v>
      </c>
      <c r="L277" s="36">
        <f t="shared" si="40"/>
        <v>1.5531999999999999</v>
      </c>
      <c r="M277" s="36">
        <f t="shared" si="40"/>
        <v>1.9018999999999999</v>
      </c>
      <c r="N277" s="36">
        <f t="shared" si="40"/>
        <v>2.2913000000000001</v>
      </c>
      <c r="O277" s="36">
        <f t="shared" si="40"/>
        <v>2.7115</v>
      </c>
      <c r="P277" s="36">
        <f t="shared" si="40"/>
        <v>3.1746000000000003</v>
      </c>
      <c r="Q277" s="36">
        <f t="shared" si="40"/>
        <v>3.6608000000000001</v>
      </c>
      <c r="R277" s="36">
        <f t="shared" si="40"/>
        <v>4.1756000000000002</v>
      </c>
      <c r="S277" s="36">
        <f t="shared" si="40"/>
        <v>5.3482000000000003</v>
      </c>
      <c r="T277" s="36">
        <f t="shared" si="41"/>
        <v>6.6638000000000002</v>
      </c>
      <c r="U277" s="36">
        <f t="shared" si="41"/>
        <v>8.0937999999999999</v>
      </c>
      <c r="V277" s="36" t="str">
        <f t="shared" si="41"/>
        <v>-</v>
      </c>
      <c r="W277" s="36" t="str">
        <f t="shared" si="41"/>
        <v>-</v>
      </c>
      <c r="X277" s="36" t="str">
        <f t="shared" si="38"/>
        <v>-</v>
      </c>
      <c r="Y277" s="36" t="str">
        <f t="shared" si="38"/>
        <v>-</v>
      </c>
      <c r="Z277" s="36" t="str">
        <f t="shared" si="38"/>
        <v>-</v>
      </c>
    </row>
    <row r="278" spans="1:26" x14ac:dyDescent="0.55000000000000004">
      <c r="A278" s="83"/>
      <c r="B278" s="83"/>
      <c r="C278" s="15">
        <v>11.25</v>
      </c>
      <c r="D278" s="36">
        <f t="shared" si="40"/>
        <v>0.17100000000000001</v>
      </c>
      <c r="E278" s="36">
        <f t="shared" si="40"/>
        <v>0.23512499999999997</v>
      </c>
      <c r="F278" s="36">
        <f t="shared" si="40"/>
        <v>0.291375</v>
      </c>
      <c r="G278" s="36">
        <f t="shared" si="40"/>
        <v>0.37125000000000002</v>
      </c>
      <c r="H278" s="36">
        <f t="shared" si="40"/>
        <v>0.54674999999999996</v>
      </c>
      <c r="I278" s="36">
        <f t="shared" si="40"/>
        <v>0.74925000000000008</v>
      </c>
      <c r="J278" s="36">
        <f t="shared" si="40"/>
        <v>0.98325000000000007</v>
      </c>
      <c r="K278" s="36">
        <f t="shared" si="40"/>
        <v>1.26675</v>
      </c>
      <c r="L278" s="36">
        <f t="shared" si="40"/>
        <v>1.5884999999999998</v>
      </c>
      <c r="M278" s="36">
        <f t="shared" si="40"/>
        <v>1.945125</v>
      </c>
      <c r="N278" s="36">
        <f t="shared" si="40"/>
        <v>2.343375</v>
      </c>
      <c r="O278" s="36">
        <f t="shared" si="40"/>
        <v>2.7731249999999998</v>
      </c>
      <c r="P278" s="36">
        <f t="shared" si="40"/>
        <v>3.2467500000000005</v>
      </c>
      <c r="Q278" s="36">
        <f t="shared" si="40"/>
        <v>3.7439999999999998</v>
      </c>
      <c r="R278" s="36">
        <f t="shared" si="40"/>
        <v>4.2705000000000002</v>
      </c>
      <c r="S278" s="36">
        <f t="shared" si="40"/>
        <v>5.4697500000000003</v>
      </c>
      <c r="T278" s="36">
        <f t="shared" si="41"/>
        <v>6.8152499999999998</v>
      </c>
      <c r="U278" s="36">
        <f t="shared" si="41"/>
        <v>8.2777499999999993</v>
      </c>
      <c r="V278" s="36" t="str">
        <f t="shared" si="41"/>
        <v>-</v>
      </c>
      <c r="W278" s="36" t="str">
        <f t="shared" si="41"/>
        <v>-</v>
      </c>
      <c r="X278" s="36" t="str">
        <f t="shared" si="38"/>
        <v>-</v>
      </c>
      <c r="Y278" s="36" t="str">
        <f t="shared" si="38"/>
        <v>-</v>
      </c>
      <c r="Z278" s="36" t="str">
        <f t="shared" si="38"/>
        <v>-</v>
      </c>
    </row>
    <row r="279" spans="1:26" x14ac:dyDescent="0.55000000000000004">
      <c r="A279" s="83"/>
      <c r="B279" s="83"/>
      <c r="C279" s="15">
        <v>11.5</v>
      </c>
      <c r="D279" s="36">
        <f t="shared" si="40"/>
        <v>0.17480000000000001</v>
      </c>
      <c r="E279" s="36">
        <f t="shared" si="40"/>
        <v>0.24034999999999998</v>
      </c>
      <c r="F279" s="36">
        <f t="shared" si="40"/>
        <v>0.29785</v>
      </c>
      <c r="G279" s="36">
        <f t="shared" si="40"/>
        <v>0.3795</v>
      </c>
      <c r="H279" s="36">
        <f t="shared" si="40"/>
        <v>0.55889999999999995</v>
      </c>
      <c r="I279" s="36">
        <f t="shared" si="40"/>
        <v>0.76590000000000003</v>
      </c>
      <c r="J279" s="36">
        <f t="shared" si="40"/>
        <v>1.0051000000000001</v>
      </c>
      <c r="K279" s="36">
        <f t="shared" si="40"/>
        <v>1.2949000000000002</v>
      </c>
      <c r="L279" s="36">
        <f t="shared" si="40"/>
        <v>1.6237999999999999</v>
      </c>
      <c r="M279" s="36">
        <f t="shared" si="40"/>
        <v>1.9883500000000001</v>
      </c>
      <c r="N279" s="36">
        <f t="shared" si="40"/>
        <v>2.3954500000000003</v>
      </c>
      <c r="O279" s="36">
        <f t="shared" si="40"/>
        <v>2.8347500000000001</v>
      </c>
      <c r="P279" s="36">
        <f t="shared" si="40"/>
        <v>3.3189000000000002</v>
      </c>
      <c r="Q279" s="36">
        <f t="shared" si="40"/>
        <v>3.8271999999999999</v>
      </c>
      <c r="R279" s="36">
        <f t="shared" si="40"/>
        <v>4.3654000000000002</v>
      </c>
      <c r="S279" s="36">
        <f t="shared" si="40"/>
        <v>5.5913000000000004</v>
      </c>
      <c r="T279" s="36">
        <f t="shared" si="41"/>
        <v>6.9667000000000003</v>
      </c>
      <c r="U279" s="36">
        <f t="shared" si="41"/>
        <v>8.4617000000000004</v>
      </c>
      <c r="V279" s="36" t="str">
        <f t="shared" si="41"/>
        <v>-</v>
      </c>
      <c r="W279" s="36" t="str">
        <f t="shared" si="41"/>
        <v>-</v>
      </c>
      <c r="X279" s="36" t="str">
        <f t="shared" si="38"/>
        <v>-</v>
      </c>
      <c r="Y279" s="36" t="str">
        <f t="shared" si="38"/>
        <v>-</v>
      </c>
      <c r="Z279" s="36" t="str">
        <f t="shared" si="38"/>
        <v>-</v>
      </c>
    </row>
    <row r="280" spans="1:26" x14ac:dyDescent="0.55000000000000004">
      <c r="A280" s="83"/>
      <c r="B280" s="83"/>
      <c r="C280" s="15">
        <v>11.75</v>
      </c>
      <c r="D280" s="36">
        <f t="shared" si="40"/>
        <v>0.17860000000000001</v>
      </c>
      <c r="E280" s="36">
        <f t="shared" si="40"/>
        <v>0.24557499999999999</v>
      </c>
      <c r="F280" s="36">
        <f t="shared" si="40"/>
        <v>0.30432500000000001</v>
      </c>
      <c r="G280" s="36">
        <f t="shared" si="40"/>
        <v>0.38775000000000004</v>
      </c>
      <c r="H280" s="36">
        <f t="shared" si="40"/>
        <v>0.57104999999999995</v>
      </c>
      <c r="I280" s="36">
        <f t="shared" si="40"/>
        <v>0.78255000000000008</v>
      </c>
      <c r="J280" s="36">
        <f t="shared" si="40"/>
        <v>1.02695</v>
      </c>
      <c r="K280" s="36">
        <f t="shared" si="40"/>
        <v>1.3230500000000001</v>
      </c>
      <c r="L280" s="36">
        <f t="shared" si="40"/>
        <v>1.6591</v>
      </c>
      <c r="M280" s="36">
        <f t="shared" si="40"/>
        <v>2.0315750000000001</v>
      </c>
      <c r="N280" s="36">
        <f t="shared" si="40"/>
        <v>2.4475250000000002</v>
      </c>
      <c r="O280" s="36">
        <f t="shared" si="40"/>
        <v>2.8963749999999999</v>
      </c>
      <c r="P280" s="36">
        <f t="shared" si="40"/>
        <v>3.3910500000000003</v>
      </c>
      <c r="Q280" s="36">
        <f t="shared" si="40"/>
        <v>3.9103999999999997</v>
      </c>
      <c r="R280" s="36">
        <f t="shared" si="40"/>
        <v>4.4603000000000002</v>
      </c>
      <c r="S280" s="36">
        <f t="shared" si="40"/>
        <v>5.7128500000000004</v>
      </c>
      <c r="T280" s="36">
        <f t="shared" si="41"/>
        <v>7.11815</v>
      </c>
      <c r="U280" s="36">
        <f t="shared" si="41"/>
        <v>8.6456499999999998</v>
      </c>
      <c r="V280" s="36" t="str">
        <f t="shared" si="41"/>
        <v>-</v>
      </c>
      <c r="W280" s="36" t="str">
        <f t="shared" si="41"/>
        <v>-</v>
      </c>
      <c r="X280" s="36" t="str">
        <f t="shared" si="38"/>
        <v>-</v>
      </c>
      <c r="Y280" s="36" t="str">
        <f t="shared" si="38"/>
        <v>-</v>
      </c>
      <c r="Z280" s="36" t="str">
        <f t="shared" si="38"/>
        <v>-</v>
      </c>
    </row>
    <row r="281" spans="1:26" x14ac:dyDescent="0.55000000000000004">
      <c r="A281" s="83"/>
      <c r="B281" s="83"/>
      <c r="C281" s="15">
        <v>12</v>
      </c>
      <c r="D281" s="36">
        <f t="shared" si="40"/>
        <v>0.18240000000000001</v>
      </c>
      <c r="E281" s="36">
        <f t="shared" si="40"/>
        <v>0.25079999999999997</v>
      </c>
      <c r="F281" s="36">
        <f t="shared" si="40"/>
        <v>0.31079999999999997</v>
      </c>
      <c r="G281" s="36">
        <f t="shared" si="40"/>
        <v>0.39600000000000002</v>
      </c>
      <c r="H281" s="36">
        <f t="shared" si="40"/>
        <v>0.58319999999999994</v>
      </c>
      <c r="I281" s="36">
        <f t="shared" si="40"/>
        <v>0.79920000000000013</v>
      </c>
      <c r="J281" s="36">
        <f t="shared" si="40"/>
        <v>1.0488</v>
      </c>
      <c r="K281" s="36">
        <f t="shared" si="40"/>
        <v>1.3512</v>
      </c>
      <c r="L281" s="36">
        <f t="shared" si="40"/>
        <v>1.6943999999999999</v>
      </c>
      <c r="M281" s="36">
        <f t="shared" si="40"/>
        <v>2.0747999999999998</v>
      </c>
      <c r="N281" s="36">
        <f t="shared" si="40"/>
        <v>2.4996</v>
      </c>
      <c r="O281" s="36">
        <f t="shared" si="40"/>
        <v>2.9580000000000002</v>
      </c>
      <c r="P281" s="36">
        <f t="shared" si="40"/>
        <v>3.4632000000000005</v>
      </c>
      <c r="Q281" s="36">
        <f t="shared" si="40"/>
        <v>3.9935999999999998</v>
      </c>
      <c r="R281" s="36">
        <f t="shared" si="40"/>
        <v>4.5552000000000001</v>
      </c>
      <c r="S281" s="36">
        <f t="shared" si="40"/>
        <v>5.8344000000000005</v>
      </c>
      <c r="T281" s="36">
        <f t="shared" si="41"/>
        <v>7.2696000000000005</v>
      </c>
      <c r="U281" s="36">
        <f t="shared" si="41"/>
        <v>8.8295999999999992</v>
      </c>
      <c r="V281" s="36">
        <f t="shared" si="41"/>
        <v>10.576799999999999</v>
      </c>
      <c r="W281" s="36" t="str">
        <f t="shared" si="41"/>
        <v>-</v>
      </c>
      <c r="X281" s="36" t="str">
        <f t="shared" si="38"/>
        <v>-</v>
      </c>
      <c r="Y281" s="36" t="str">
        <f t="shared" si="38"/>
        <v>-</v>
      </c>
      <c r="Z281" s="36" t="str">
        <f t="shared" si="38"/>
        <v>-</v>
      </c>
    </row>
    <row r="282" spans="1:26" x14ac:dyDescent="0.55000000000000004">
      <c r="A282" s="83"/>
      <c r="B282" s="83"/>
      <c r="C282" s="15">
        <v>12.25</v>
      </c>
      <c r="D282" s="36">
        <f t="shared" si="40"/>
        <v>0.1862</v>
      </c>
      <c r="E282" s="36">
        <f t="shared" si="40"/>
        <v>0.256025</v>
      </c>
      <c r="F282" s="36">
        <f t="shared" si="40"/>
        <v>0.31727499999999997</v>
      </c>
      <c r="G282" s="36">
        <f t="shared" si="40"/>
        <v>0.40425</v>
      </c>
      <c r="H282" s="36">
        <f t="shared" si="40"/>
        <v>0.59534999999999993</v>
      </c>
      <c r="I282" s="36">
        <f t="shared" si="40"/>
        <v>0.81585000000000008</v>
      </c>
      <c r="J282" s="36">
        <f t="shared" si="40"/>
        <v>1.0706500000000001</v>
      </c>
      <c r="K282" s="36">
        <f t="shared" si="40"/>
        <v>1.3793500000000001</v>
      </c>
      <c r="L282" s="36">
        <f t="shared" si="40"/>
        <v>1.7296999999999998</v>
      </c>
      <c r="M282" s="36">
        <f t="shared" si="40"/>
        <v>2.1180249999999998</v>
      </c>
      <c r="N282" s="36">
        <f t="shared" si="40"/>
        <v>2.5516750000000004</v>
      </c>
      <c r="O282" s="36">
        <f t="shared" si="40"/>
        <v>3.019625</v>
      </c>
      <c r="P282" s="36">
        <f t="shared" si="40"/>
        <v>3.5353500000000002</v>
      </c>
      <c r="Q282" s="36">
        <f t="shared" si="40"/>
        <v>4.0767999999999995</v>
      </c>
      <c r="R282" s="36">
        <f t="shared" si="40"/>
        <v>4.6501000000000001</v>
      </c>
      <c r="S282" s="36">
        <f t="shared" si="40"/>
        <v>5.9559500000000005</v>
      </c>
      <c r="T282" s="36">
        <f t="shared" si="41"/>
        <v>7.4210500000000001</v>
      </c>
      <c r="U282" s="36">
        <f t="shared" si="41"/>
        <v>9.0135500000000004</v>
      </c>
      <c r="V282" s="36">
        <f t="shared" si="41"/>
        <v>10.79715</v>
      </c>
      <c r="W282" s="36" t="str">
        <f t="shared" si="41"/>
        <v>-</v>
      </c>
      <c r="X282" s="36" t="str">
        <f t="shared" si="38"/>
        <v>-</v>
      </c>
      <c r="Y282" s="36" t="str">
        <f t="shared" si="38"/>
        <v>-</v>
      </c>
      <c r="Z282" s="36" t="str">
        <f t="shared" si="38"/>
        <v>-</v>
      </c>
    </row>
    <row r="283" spans="1:26" x14ac:dyDescent="0.55000000000000004">
      <c r="A283" s="83"/>
      <c r="B283" s="83"/>
      <c r="C283" s="15">
        <v>12.5</v>
      </c>
      <c r="D283" s="36">
        <f t="shared" si="40"/>
        <v>0.19</v>
      </c>
      <c r="E283" s="36">
        <f t="shared" si="40"/>
        <v>0.26124999999999998</v>
      </c>
      <c r="F283" s="36">
        <f t="shared" si="40"/>
        <v>0.32374999999999998</v>
      </c>
      <c r="G283" s="36">
        <f t="shared" si="40"/>
        <v>0.41250000000000003</v>
      </c>
      <c r="H283" s="36">
        <f t="shared" si="40"/>
        <v>0.60749999999999993</v>
      </c>
      <c r="I283" s="36">
        <f t="shared" si="40"/>
        <v>0.83250000000000013</v>
      </c>
      <c r="J283" s="36">
        <f t="shared" si="40"/>
        <v>1.0925</v>
      </c>
      <c r="K283" s="36">
        <f t="shared" si="40"/>
        <v>1.4075</v>
      </c>
      <c r="L283" s="36">
        <f t="shared" si="40"/>
        <v>1.7649999999999999</v>
      </c>
      <c r="M283" s="36">
        <f t="shared" si="40"/>
        <v>2.1612499999999999</v>
      </c>
      <c r="N283" s="36">
        <f t="shared" si="40"/>
        <v>2.6037500000000002</v>
      </c>
      <c r="O283" s="36">
        <f t="shared" si="40"/>
        <v>3.0812499999999998</v>
      </c>
      <c r="P283" s="36">
        <f t="shared" si="40"/>
        <v>3.6075000000000004</v>
      </c>
      <c r="Q283" s="36">
        <f t="shared" si="40"/>
        <v>4.16</v>
      </c>
      <c r="R283" s="36">
        <f t="shared" si="40"/>
        <v>4.7450000000000001</v>
      </c>
      <c r="S283" s="36">
        <f t="shared" si="40"/>
        <v>6.0775000000000006</v>
      </c>
      <c r="T283" s="36">
        <f t="shared" si="41"/>
        <v>7.5724999999999998</v>
      </c>
      <c r="U283" s="36">
        <f t="shared" si="41"/>
        <v>9.1974999999999998</v>
      </c>
      <c r="V283" s="36">
        <f t="shared" si="41"/>
        <v>11.0175</v>
      </c>
      <c r="W283" s="36" t="str">
        <f t="shared" si="41"/>
        <v>-</v>
      </c>
      <c r="X283" s="36" t="str">
        <f t="shared" si="38"/>
        <v>-</v>
      </c>
      <c r="Y283" s="36" t="str">
        <f t="shared" si="38"/>
        <v>-</v>
      </c>
      <c r="Z283" s="36" t="str">
        <f t="shared" si="38"/>
        <v>-</v>
      </c>
    </row>
    <row r="284" spans="1:26" x14ac:dyDescent="0.55000000000000004">
      <c r="A284" s="83"/>
      <c r="B284" s="83"/>
      <c r="C284" s="15">
        <v>12.75</v>
      </c>
      <c r="D284" s="36">
        <f t="shared" si="40"/>
        <v>0.1938</v>
      </c>
      <c r="E284" s="36">
        <f t="shared" si="40"/>
        <v>0.26647499999999996</v>
      </c>
      <c r="F284" s="36">
        <f t="shared" si="40"/>
        <v>0.33022499999999999</v>
      </c>
      <c r="G284" s="36">
        <f t="shared" si="40"/>
        <v>0.42075000000000001</v>
      </c>
      <c r="H284" s="36">
        <f t="shared" si="40"/>
        <v>0.61964999999999992</v>
      </c>
      <c r="I284" s="36">
        <f t="shared" si="40"/>
        <v>0.84915000000000007</v>
      </c>
      <c r="J284" s="36">
        <f t="shared" si="40"/>
        <v>1.1143500000000002</v>
      </c>
      <c r="K284" s="36">
        <f t="shared" si="40"/>
        <v>1.4356500000000001</v>
      </c>
      <c r="L284" s="36">
        <f t="shared" si="40"/>
        <v>1.8003</v>
      </c>
      <c r="M284" s="36">
        <f t="shared" si="40"/>
        <v>2.204475</v>
      </c>
      <c r="N284" s="36">
        <f t="shared" si="40"/>
        <v>2.6558250000000001</v>
      </c>
      <c r="O284" s="36">
        <f t="shared" si="40"/>
        <v>3.1428750000000001</v>
      </c>
      <c r="P284" s="36">
        <f t="shared" si="40"/>
        <v>3.6796500000000001</v>
      </c>
      <c r="Q284" s="36">
        <f t="shared" si="40"/>
        <v>4.2431999999999999</v>
      </c>
      <c r="R284" s="36">
        <f t="shared" si="40"/>
        <v>4.8399000000000001</v>
      </c>
      <c r="S284" s="36">
        <f t="shared" ref="S284:Z299" si="42">IF($C284&gt;=(4*S$238),(($C284*S$240)*1),"-")</f>
        <v>6.1990500000000006</v>
      </c>
      <c r="T284" s="36">
        <f t="shared" si="42"/>
        <v>7.7239500000000003</v>
      </c>
      <c r="U284" s="36">
        <f t="shared" si="42"/>
        <v>9.381450000000001</v>
      </c>
      <c r="V284" s="36">
        <f t="shared" si="42"/>
        <v>11.23785</v>
      </c>
      <c r="W284" s="36" t="str">
        <f t="shared" si="42"/>
        <v>-</v>
      </c>
      <c r="X284" s="36" t="str">
        <f t="shared" si="42"/>
        <v>-</v>
      </c>
      <c r="Y284" s="36" t="str">
        <f t="shared" si="42"/>
        <v>-</v>
      </c>
      <c r="Z284" s="36" t="str">
        <f t="shared" si="42"/>
        <v>-</v>
      </c>
    </row>
    <row r="285" spans="1:26" x14ac:dyDescent="0.55000000000000004">
      <c r="A285" s="83"/>
      <c r="B285" s="83"/>
      <c r="C285" s="15">
        <v>13</v>
      </c>
      <c r="D285" s="36">
        <f t="shared" ref="D285:S300" si="43">IF($C285&gt;=(4*D$238),(($C285*D$240)*1),"-")</f>
        <v>0.1976</v>
      </c>
      <c r="E285" s="36">
        <f t="shared" si="43"/>
        <v>0.2717</v>
      </c>
      <c r="F285" s="36">
        <f t="shared" si="43"/>
        <v>0.3367</v>
      </c>
      <c r="G285" s="36">
        <f t="shared" si="43"/>
        <v>0.42900000000000005</v>
      </c>
      <c r="H285" s="36">
        <f t="shared" si="43"/>
        <v>0.63179999999999992</v>
      </c>
      <c r="I285" s="36">
        <f t="shared" si="43"/>
        <v>0.86580000000000013</v>
      </c>
      <c r="J285" s="36">
        <f t="shared" si="43"/>
        <v>1.1362000000000001</v>
      </c>
      <c r="K285" s="36">
        <f t="shared" si="43"/>
        <v>1.4638</v>
      </c>
      <c r="L285" s="36">
        <f t="shared" si="43"/>
        <v>1.8355999999999999</v>
      </c>
      <c r="M285" s="36">
        <f t="shared" si="43"/>
        <v>2.2477</v>
      </c>
      <c r="N285" s="36">
        <f t="shared" si="43"/>
        <v>2.7079</v>
      </c>
      <c r="O285" s="36">
        <f t="shared" si="43"/>
        <v>3.2044999999999999</v>
      </c>
      <c r="P285" s="36">
        <f t="shared" si="43"/>
        <v>3.7518000000000002</v>
      </c>
      <c r="Q285" s="36">
        <f t="shared" si="43"/>
        <v>4.3263999999999996</v>
      </c>
      <c r="R285" s="36">
        <f t="shared" si="43"/>
        <v>4.9348000000000001</v>
      </c>
      <c r="S285" s="36">
        <f t="shared" si="43"/>
        <v>6.3206000000000007</v>
      </c>
      <c r="T285" s="36">
        <f t="shared" si="42"/>
        <v>7.8754</v>
      </c>
      <c r="U285" s="36">
        <f t="shared" si="42"/>
        <v>9.5654000000000003</v>
      </c>
      <c r="V285" s="36">
        <f t="shared" si="42"/>
        <v>11.4582</v>
      </c>
      <c r="W285" s="36">
        <f t="shared" si="42"/>
        <v>13.689</v>
      </c>
      <c r="X285" s="36" t="str">
        <f t="shared" si="42"/>
        <v>-</v>
      </c>
      <c r="Y285" s="36" t="str">
        <f t="shared" si="42"/>
        <v>-</v>
      </c>
      <c r="Z285" s="36" t="str">
        <f t="shared" si="42"/>
        <v>-</v>
      </c>
    </row>
    <row r="286" spans="1:26" x14ac:dyDescent="0.55000000000000004">
      <c r="A286" s="83"/>
      <c r="B286" s="83"/>
      <c r="C286" s="15">
        <v>13.25</v>
      </c>
      <c r="D286" s="36">
        <f t="shared" si="43"/>
        <v>0.2014</v>
      </c>
      <c r="E286" s="36">
        <f t="shared" si="43"/>
        <v>0.27692499999999998</v>
      </c>
      <c r="F286" s="36">
        <f t="shared" si="43"/>
        <v>0.34317500000000001</v>
      </c>
      <c r="G286" s="36">
        <f t="shared" si="43"/>
        <v>0.43725000000000003</v>
      </c>
      <c r="H286" s="36">
        <f t="shared" si="43"/>
        <v>0.64394999999999991</v>
      </c>
      <c r="I286" s="36">
        <f t="shared" si="43"/>
        <v>0.88245000000000007</v>
      </c>
      <c r="J286" s="36">
        <f t="shared" si="43"/>
        <v>1.15805</v>
      </c>
      <c r="K286" s="36">
        <f t="shared" si="43"/>
        <v>1.4919500000000001</v>
      </c>
      <c r="L286" s="36">
        <f t="shared" si="43"/>
        <v>1.8708999999999998</v>
      </c>
      <c r="M286" s="36">
        <f t="shared" si="43"/>
        <v>2.2909250000000001</v>
      </c>
      <c r="N286" s="36">
        <f t="shared" si="43"/>
        <v>2.7599750000000003</v>
      </c>
      <c r="O286" s="36">
        <f t="shared" si="43"/>
        <v>3.2661250000000002</v>
      </c>
      <c r="P286" s="36">
        <f t="shared" si="43"/>
        <v>3.8239500000000004</v>
      </c>
      <c r="Q286" s="36">
        <f t="shared" si="43"/>
        <v>4.4096000000000002</v>
      </c>
      <c r="R286" s="36">
        <f t="shared" si="43"/>
        <v>5.0297000000000001</v>
      </c>
      <c r="S286" s="36">
        <f t="shared" si="43"/>
        <v>6.4421500000000007</v>
      </c>
      <c r="T286" s="36">
        <f t="shared" si="42"/>
        <v>8.0268499999999996</v>
      </c>
      <c r="U286" s="36">
        <f t="shared" si="42"/>
        <v>9.7493499999999997</v>
      </c>
      <c r="V286" s="36">
        <f t="shared" si="42"/>
        <v>11.67855</v>
      </c>
      <c r="W286" s="36">
        <f t="shared" si="42"/>
        <v>13.952249999999999</v>
      </c>
      <c r="X286" s="36" t="str">
        <f t="shared" si="42"/>
        <v>-</v>
      </c>
      <c r="Y286" s="36" t="str">
        <f t="shared" si="42"/>
        <v>-</v>
      </c>
      <c r="Z286" s="36" t="str">
        <f t="shared" si="42"/>
        <v>-</v>
      </c>
    </row>
    <row r="287" spans="1:26" x14ac:dyDescent="0.55000000000000004">
      <c r="A287" s="83"/>
      <c r="B287" s="83"/>
      <c r="C287" s="15">
        <v>13.5</v>
      </c>
      <c r="D287" s="36">
        <f t="shared" si="43"/>
        <v>0.20519999999999999</v>
      </c>
      <c r="E287" s="36">
        <f t="shared" si="43"/>
        <v>0.28214999999999996</v>
      </c>
      <c r="F287" s="36">
        <f t="shared" si="43"/>
        <v>0.34965000000000002</v>
      </c>
      <c r="G287" s="36">
        <f t="shared" si="43"/>
        <v>0.44550000000000001</v>
      </c>
      <c r="H287" s="36">
        <f t="shared" si="43"/>
        <v>0.65610000000000002</v>
      </c>
      <c r="I287" s="36">
        <f t="shared" si="43"/>
        <v>0.89910000000000012</v>
      </c>
      <c r="J287" s="36">
        <f t="shared" si="43"/>
        <v>1.1799000000000002</v>
      </c>
      <c r="K287" s="36">
        <f t="shared" si="43"/>
        <v>1.5201</v>
      </c>
      <c r="L287" s="36">
        <f t="shared" si="43"/>
        <v>1.9061999999999999</v>
      </c>
      <c r="M287" s="36">
        <f t="shared" si="43"/>
        <v>2.3341500000000002</v>
      </c>
      <c r="N287" s="36">
        <f t="shared" si="43"/>
        <v>2.8120500000000002</v>
      </c>
      <c r="O287" s="36">
        <f t="shared" si="43"/>
        <v>3.32775</v>
      </c>
      <c r="P287" s="36">
        <f t="shared" si="43"/>
        <v>3.8961000000000001</v>
      </c>
      <c r="Q287" s="36">
        <f t="shared" si="43"/>
        <v>4.4927999999999999</v>
      </c>
      <c r="R287" s="36">
        <f t="shared" si="43"/>
        <v>5.1246</v>
      </c>
      <c r="S287" s="36">
        <f t="shared" si="43"/>
        <v>6.5636999999999999</v>
      </c>
      <c r="T287" s="36">
        <f t="shared" si="42"/>
        <v>8.1783000000000001</v>
      </c>
      <c r="U287" s="36">
        <f t="shared" si="42"/>
        <v>9.9333000000000009</v>
      </c>
      <c r="V287" s="36">
        <f t="shared" si="42"/>
        <v>11.898899999999999</v>
      </c>
      <c r="W287" s="36">
        <f t="shared" si="42"/>
        <v>14.215499999999999</v>
      </c>
      <c r="X287" s="36" t="str">
        <f t="shared" si="42"/>
        <v>-</v>
      </c>
      <c r="Y287" s="36" t="str">
        <f t="shared" si="42"/>
        <v>-</v>
      </c>
      <c r="Z287" s="36" t="str">
        <f t="shared" si="42"/>
        <v>-</v>
      </c>
    </row>
    <row r="288" spans="1:26" x14ac:dyDescent="0.55000000000000004">
      <c r="A288" s="83"/>
      <c r="B288" s="83"/>
      <c r="C288" s="15">
        <v>13.75</v>
      </c>
      <c r="D288" s="36">
        <f t="shared" si="43"/>
        <v>0.20899999999999999</v>
      </c>
      <c r="E288" s="36">
        <f t="shared" si="43"/>
        <v>0.28737499999999999</v>
      </c>
      <c r="F288" s="36">
        <f t="shared" si="43"/>
        <v>0.35612499999999997</v>
      </c>
      <c r="G288" s="36">
        <f t="shared" si="43"/>
        <v>0.45375000000000004</v>
      </c>
      <c r="H288" s="36">
        <f t="shared" si="43"/>
        <v>0.66825000000000001</v>
      </c>
      <c r="I288" s="36">
        <f t="shared" si="43"/>
        <v>0.91575000000000006</v>
      </c>
      <c r="J288" s="36">
        <f t="shared" si="43"/>
        <v>1.2017500000000001</v>
      </c>
      <c r="K288" s="36">
        <f t="shared" si="43"/>
        <v>1.5482500000000001</v>
      </c>
      <c r="L288" s="36">
        <f t="shared" si="43"/>
        <v>1.9415</v>
      </c>
      <c r="M288" s="36">
        <f t="shared" si="43"/>
        <v>2.3773749999999998</v>
      </c>
      <c r="N288" s="36">
        <f t="shared" si="43"/>
        <v>2.864125</v>
      </c>
      <c r="O288" s="36">
        <f t="shared" si="43"/>
        <v>3.3893749999999998</v>
      </c>
      <c r="P288" s="36">
        <f t="shared" si="43"/>
        <v>3.9682500000000003</v>
      </c>
      <c r="Q288" s="36">
        <f t="shared" si="43"/>
        <v>4.5759999999999996</v>
      </c>
      <c r="R288" s="36">
        <f t="shared" si="43"/>
        <v>5.2195</v>
      </c>
      <c r="S288" s="36">
        <f t="shared" si="43"/>
        <v>6.6852499999999999</v>
      </c>
      <c r="T288" s="36">
        <f t="shared" si="42"/>
        <v>8.3297500000000007</v>
      </c>
      <c r="U288" s="36">
        <f t="shared" si="42"/>
        <v>10.11725</v>
      </c>
      <c r="V288" s="36">
        <f t="shared" si="42"/>
        <v>12.119249999999999</v>
      </c>
      <c r="W288" s="36">
        <f t="shared" si="42"/>
        <v>14.47875</v>
      </c>
      <c r="X288" s="36" t="str">
        <f t="shared" si="42"/>
        <v>-</v>
      </c>
      <c r="Y288" s="36" t="str">
        <f t="shared" si="42"/>
        <v>-</v>
      </c>
      <c r="Z288" s="36" t="str">
        <f t="shared" si="42"/>
        <v>-</v>
      </c>
    </row>
    <row r="289" spans="1:26" x14ac:dyDescent="0.55000000000000004">
      <c r="A289" s="83"/>
      <c r="B289" s="83"/>
      <c r="C289" s="15">
        <v>14</v>
      </c>
      <c r="D289" s="36">
        <f t="shared" si="43"/>
        <v>0.21279999999999999</v>
      </c>
      <c r="E289" s="36">
        <f t="shared" si="43"/>
        <v>0.29259999999999997</v>
      </c>
      <c r="F289" s="36">
        <f t="shared" si="43"/>
        <v>0.36259999999999998</v>
      </c>
      <c r="G289" s="36">
        <f t="shared" si="43"/>
        <v>0.46200000000000002</v>
      </c>
      <c r="H289" s="36">
        <f t="shared" si="43"/>
        <v>0.6804</v>
      </c>
      <c r="I289" s="36">
        <f t="shared" si="43"/>
        <v>0.93240000000000012</v>
      </c>
      <c r="J289" s="36">
        <f t="shared" si="43"/>
        <v>1.2236</v>
      </c>
      <c r="K289" s="36">
        <f t="shared" si="43"/>
        <v>1.5764</v>
      </c>
      <c r="L289" s="36">
        <f t="shared" si="43"/>
        <v>1.9767999999999999</v>
      </c>
      <c r="M289" s="36">
        <f t="shared" si="43"/>
        <v>2.4205999999999999</v>
      </c>
      <c r="N289" s="36">
        <f t="shared" si="43"/>
        <v>2.9162000000000003</v>
      </c>
      <c r="O289" s="36">
        <f t="shared" si="43"/>
        <v>3.4510000000000001</v>
      </c>
      <c r="P289" s="36">
        <f t="shared" si="43"/>
        <v>4.0404</v>
      </c>
      <c r="Q289" s="36">
        <f t="shared" si="43"/>
        <v>4.6592000000000002</v>
      </c>
      <c r="R289" s="36">
        <f t="shared" si="43"/>
        <v>5.3144</v>
      </c>
      <c r="S289" s="36">
        <f t="shared" si="43"/>
        <v>6.8068</v>
      </c>
      <c r="T289" s="36">
        <f t="shared" si="42"/>
        <v>8.4811999999999994</v>
      </c>
      <c r="U289" s="36">
        <f t="shared" si="42"/>
        <v>10.3012</v>
      </c>
      <c r="V289" s="36">
        <f t="shared" si="42"/>
        <v>12.339599999999999</v>
      </c>
      <c r="W289" s="36">
        <f t="shared" si="42"/>
        <v>14.741999999999999</v>
      </c>
      <c r="X289" s="36">
        <f t="shared" si="42"/>
        <v>17.180800000000001</v>
      </c>
      <c r="Y289" s="36" t="str">
        <f t="shared" si="42"/>
        <v>-</v>
      </c>
      <c r="Z289" s="36" t="str">
        <f t="shared" si="42"/>
        <v>-</v>
      </c>
    </row>
    <row r="290" spans="1:26" x14ac:dyDescent="0.55000000000000004">
      <c r="A290" s="83"/>
      <c r="B290" s="83"/>
      <c r="C290" s="15">
        <v>14.25</v>
      </c>
      <c r="D290" s="36">
        <f t="shared" si="43"/>
        <v>0.21659999999999999</v>
      </c>
      <c r="E290" s="36">
        <f t="shared" si="43"/>
        <v>0.29782499999999995</v>
      </c>
      <c r="F290" s="36">
        <f t="shared" si="43"/>
        <v>0.36907499999999999</v>
      </c>
      <c r="G290" s="36">
        <f t="shared" si="43"/>
        <v>0.47025</v>
      </c>
      <c r="H290" s="36">
        <f t="shared" si="43"/>
        <v>0.69255</v>
      </c>
      <c r="I290" s="36">
        <f t="shared" si="43"/>
        <v>0.94905000000000006</v>
      </c>
      <c r="J290" s="36">
        <f t="shared" si="43"/>
        <v>1.2454500000000002</v>
      </c>
      <c r="K290" s="36">
        <f t="shared" si="43"/>
        <v>1.6045500000000001</v>
      </c>
      <c r="L290" s="36">
        <f t="shared" si="43"/>
        <v>2.0120999999999998</v>
      </c>
      <c r="M290" s="36">
        <f t="shared" si="43"/>
        <v>2.4638249999999999</v>
      </c>
      <c r="N290" s="36">
        <f t="shared" si="43"/>
        <v>2.9682750000000002</v>
      </c>
      <c r="O290" s="36">
        <f t="shared" si="43"/>
        <v>3.5126249999999999</v>
      </c>
      <c r="P290" s="36">
        <f t="shared" si="43"/>
        <v>4.1125500000000006</v>
      </c>
      <c r="Q290" s="36">
        <f t="shared" si="43"/>
        <v>4.7423999999999999</v>
      </c>
      <c r="R290" s="36">
        <f t="shared" si="43"/>
        <v>5.4093</v>
      </c>
      <c r="S290" s="36">
        <f t="shared" si="43"/>
        <v>6.92835</v>
      </c>
      <c r="T290" s="36">
        <f t="shared" si="42"/>
        <v>8.6326499999999999</v>
      </c>
      <c r="U290" s="36">
        <f t="shared" si="42"/>
        <v>10.485150000000001</v>
      </c>
      <c r="V290" s="36">
        <f t="shared" si="42"/>
        <v>12.559949999999999</v>
      </c>
      <c r="W290" s="36">
        <f t="shared" si="42"/>
        <v>15.005249999999998</v>
      </c>
      <c r="X290" s="36">
        <f t="shared" si="42"/>
        <v>17.4876</v>
      </c>
      <c r="Y290" s="36" t="str">
        <f t="shared" si="42"/>
        <v>-</v>
      </c>
      <c r="Z290" s="36" t="str">
        <f t="shared" si="42"/>
        <v>-</v>
      </c>
    </row>
    <row r="291" spans="1:26" x14ac:dyDescent="0.55000000000000004">
      <c r="A291" s="83"/>
      <c r="B291" s="83"/>
      <c r="C291" s="15">
        <v>14.5</v>
      </c>
      <c r="D291" s="36">
        <f t="shared" si="43"/>
        <v>0.22040000000000001</v>
      </c>
      <c r="E291" s="36">
        <f t="shared" si="43"/>
        <v>0.30304999999999999</v>
      </c>
      <c r="F291" s="36">
        <f t="shared" si="43"/>
        <v>0.37554999999999999</v>
      </c>
      <c r="G291" s="36">
        <f t="shared" si="43"/>
        <v>0.47850000000000004</v>
      </c>
      <c r="H291" s="36">
        <f t="shared" si="43"/>
        <v>0.70469999999999999</v>
      </c>
      <c r="I291" s="36">
        <f t="shared" si="43"/>
        <v>0.96570000000000011</v>
      </c>
      <c r="J291" s="36">
        <f t="shared" si="43"/>
        <v>1.2673000000000001</v>
      </c>
      <c r="K291" s="36">
        <f t="shared" si="43"/>
        <v>1.6327</v>
      </c>
      <c r="L291" s="36">
        <f t="shared" si="43"/>
        <v>2.0473999999999997</v>
      </c>
      <c r="M291" s="36">
        <f t="shared" si="43"/>
        <v>2.50705</v>
      </c>
      <c r="N291" s="36">
        <f t="shared" si="43"/>
        <v>3.0203500000000001</v>
      </c>
      <c r="O291" s="36">
        <f t="shared" si="43"/>
        <v>3.5742500000000001</v>
      </c>
      <c r="P291" s="36">
        <f t="shared" si="43"/>
        <v>4.1847000000000003</v>
      </c>
      <c r="Q291" s="36">
        <f t="shared" si="43"/>
        <v>4.8255999999999997</v>
      </c>
      <c r="R291" s="36">
        <f t="shared" si="43"/>
        <v>5.5042</v>
      </c>
      <c r="S291" s="36">
        <f t="shared" si="43"/>
        <v>7.0499000000000001</v>
      </c>
      <c r="T291" s="36">
        <f t="shared" si="42"/>
        <v>8.7841000000000005</v>
      </c>
      <c r="U291" s="36">
        <f t="shared" si="42"/>
        <v>10.6691</v>
      </c>
      <c r="V291" s="36">
        <f t="shared" si="42"/>
        <v>12.780299999999999</v>
      </c>
      <c r="W291" s="36">
        <f t="shared" si="42"/>
        <v>15.2685</v>
      </c>
      <c r="X291" s="36">
        <f t="shared" si="42"/>
        <v>17.7944</v>
      </c>
      <c r="Y291" s="36" t="str">
        <f t="shared" si="42"/>
        <v>-</v>
      </c>
      <c r="Z291" s="36" t="str">
        <f t="shared" si="42"/>
        <v>-</v>
      </c>
    </row>
    <row r="292" spans="1:26" x14ac:dyDescent="0.55000000000000004">
      <c r="A292" s="83"/>
      <c r="B292" s="83"/>
      <c r="C292" s="15">
        <v>14.75</v>
      </c>
      <c r="D292" s="36">
        <f t="shared" si="43"/>
        <v>0.22420000000000001</v>
      </c>
      <c r="E292" s="36">
        <f t="shared" si="43"/>
        <v>0.30827499999999997</v>
      </c>
      <c r="F292" s="36">
        <f t="shared" si="43"/>
        <v>0.382025</v>
      </c>
      <c r="G292" s="36">
        <f t="shared" si="43"/>
        <v>0.48675000000000002</v>
      </c>
      <c r="H292" s="36">
        <f t="shared" si="43"/>
        <v>0.71684999999999999</v>
      </c>
      <c r="I292" s="36">
        <f t="shared" si="43"/>
        <v>0.98235000000000006</v>
      </c>
      <c r="J292" s="36">
        <f t="shared" si="43"/>
        <v>1.28915</v>
      </c>
      <c r="K292" s="36">
        <f t="shared" si="43"/>
        <v>1.6608500000000002</v>
      </c>
      <c r="L292" s="36">
        <f t="shared" si="43"/>
        <v>2.0827</v>
      </c>
      <c r="M292" s="36">
        <f t="shared" si="43"/>
        <v>2.5502750000000001</v>
      </c>
      <c r="N292" s="36">
        <f t="shared" si="43"/>
        <v>3.0724250000000004</v>
      </c>
      <c r="O292" s="36">
        <f t="shared" si="43"/>
        <v>3.635875</v>
      </c>
      <c r="P292" s="36">
        <f t="shared" si="43"/>
        <v>4.25685</v>
      </c>
      <c r="Q292" s="36">
        <f t="shared" si="43"/>
        <v>4.9087999999999994</v>
      </c>
      <c r="R292" s="36">
        <f t="shared" si="43"/>
        <v>5.5991</v>
      </c>
      <c r="S292" s="36">
        <f t="shared" si="43"/>
        <v>7.1714500000000001</v>
      </c>
      <c r="T292" s="36">
        <f t="shared" si="42"/>
        <v>8.9355499999999992</v>
      </c>
      <c r="U292" s="36">
        <f t="shared" si="42"/>
        <v>10.85305</v>
      </c>
      <c r="V292" s="36">
        <f t="shared" si="42"/>
        <v>13.00065</v>
      </c>
      <c r="W292" s="36">
        <f t="shared" si="42"/>
        <v>15.531749999999999</v>
      </c>
      <c r="X292" s="36">
        <f t="shared" si="42"/>
        <v>18.101200000000002</v>
      </c>
      <c r="Y292" s="36" t="str">
        <f t="shared" si="42"/>
        <v>-</v>
      </c>
      <c r="Z292" s="36" t="str">
        <f t="shared" si="42"/>
        <v>-</v>
      </c>
    </row>
    <row r="293" spans="1:26" x14ac:dyDescent="0.55000000000000004">
      <c r="A293" s="83"/>
      <c r="B293" s="83"/>
      <c r="C293" s="15">
        <v>15</v>
      </c>
      <c r="D293" s="36">
        <f t="shared" si="43"/>
        <v>0.22800000000000001</v>
      </c>
      <c r="E293" s="36">
        <f t="shared" si="43"/>
        <v>0.3135</v>
      </c>
      <c r="F293" s="36">
        <f t="shared" si="43"/>
        <v>0.38850000000000001</v>
      </c>
      <c r="G293" s="36">
        <f t="shared" si="43"/>
        <v>0.495</v>
      </c>
      <c r="H293" s="36">
        <f t="shared" si="43"/>
        <v>0.72899999999999998</v>
      </c>
      <c r="I293" s="36">
        <f t="shared" si="43"/>
        <v>0.99900000000000011</v>
      </c>
      <c r="J293" s="36">
        <f t="shared" si="43"/>
        <v>1.3110000000000002</v>
      </c>
      <c r="K293" s="36">
        <f t="shared" si="43"/>
        <v>1.6890000000000001</v>
      </c>
      <c r="L293" s="36">
        <f t="shared" si="43"/>
        <v>2.1179999999999999</v>
      </c>
      <c r="M293" s="36">
        <f t="shared" si="43"/>
        <v>2.5935000000000001</v>
      </c>
      <c r="N293" s="36">
        <f t="shared" si="43"/>
        <v>3.1245000000000003</v>
      </c>
      <c r="O293" s="36">
        <f t="shared" si="43"/>
        <v>3.6974999999999998</v>
      </c>
      <c r="P293" s="36">
        <f t="shared" si="43"/>
        <v>4.3290000000000006</v>
      </c>
      <c r="Q293" s="36">
        <f t="shared" si="43"/>
        <v>4.992</v>
      </c>
      <c r="R293" s="36">
        <f t="shared" si="43"/>
        <v>5.694</v>
      </c>
      <c r="S293" s="36">
        <f t="shared" si="43"/>
        <v>7.2930000000000001</v>
      </c>
      <c r="T293" s="36">
        <f t="shared" si="42"/>
        <v>9.0869999999999997</v>
      </c>
      <c r="U293" s="36">
        <f t="shared" si="42"/>
        <v>11.037000000000001</v>
      </c>
      <c r="V293" s="36">
        <f t="shared" si="42"/>
        <v>13.221</v>
      </c>
      <c r="W293" s="36">
        <f t="shared" si="42"/>
        <v>15.794999999999998</v>
      </c>
      <c r="X293" s="36">
        <f t="shared" si="42"/>
        <v>18.408000000000001</v>
      </c>
      <c r="Y293" s="36">
        <f t="shared" si="42"/>
        <v>20.669999999999998</v>
      </c>
      <c r="Z293" s="36" t="str">
        <f t="shared" si="42"/>
        <v>-</v>
      </c>
    </row>
    <row r="294" spans="1:26" x14ac:dyDescent="0.55000000000000004">
      <c r="A294" s="83"/>
      <c r="B294" s="83"/>
      <c r="C294" s="15">
        <v>15.25</v>
      </c>
      <c r="D294" s="36">
        <f t="shared" si="43"/>
        <v>0.23180000000000001</v>
      </c>
      <c r="E294" s="36">
        <f t="shared" si="43"/>
        <v>0.31872499999999998</v>
      </c>
      <c r="F294" s="36">
        <f t="shared" si="43"/>
        <v>0.39497499999999997</v>
      </c>
      <c r="G294" s="36">
        <f t="shared" si="43"/>
        <v>0.50324999999999998</v>
      </c>
      <c r="H294" s="36">
        <f t="shared" si="43"/>
        <v>0.74114999999999998</v>
      </c>
      <c r="I294" s="36">
        <f t="shared" si="43"/>
        <v>1.0156500000000002</v>
      </c>
      <c r="J294" s="36">
        <f t="shared" si="43"/>
        <v>1.3328500000000001</v>
      </c>
      <c r="K294" s="36">
        <f t="shared" si="43"/>
        <v>1.7171500000000002</v>
      </c>
      <c r="L294" s="36">
        <f t="shared" si="43"/>
        <v>2.1532999999999998</v>
      </c>
      <c r="M294" s="36">
        <f t="shared" si="43"/>
        <v>2.6367249999999998</v>
      </c>
      <c r="N294" s="36">
        <f t="shared" si="43"/>
        <v>3.1765750000000001</v>
      </c>
      <c r="O294" s="36">
        <f t="shared" si="43"/>
        <v>3.759125</v>
      </c>
      <c r="P294" s="36">
        <f t="shared" si="43"/>
        <v>4.4011500000000003</v>
      </c>
      <c r="Q294" s="36">
        <f t="shared" si="43"/>
        <v>5.0751999999999997</v>
      </c>
      <c r="R294" s="36">
        <f t="shared" si="43"/>
        <v>5.7888999999999999</v>
      </c>
      <c r="S294" s="36">
        <f t="shared" si="43"/>
        <v>7.4145500000000002</v>
      </c>
      <c r="T294" s="36">
        <f t="shared" si="42"/>
        <v>9.2384500000000003</v>
      </c>
      <c r="U294" s="36">
        <f t="shared" si="42"/>
        <v>11.22095</v>
      </c>
      <c r="V294" s="36">
        <f t="shared" si="42"/>
        <v>13.44135</v>
      </c>
      <c r="W294" s="36">
        <f t="shared" si="42"/>
        <v>16.058249999999997</v>
      </c>
      <c r="X294" s="36">
        <f t="shared" si="42"/>
        <v>18.7148</v>
      </c>
      <c r="Y294" s="36">
        <f t="shared" si="42"/>
        <v>21.014499999999998</v>
      </c>
      <c r="Z294" s="36" t="str">
        <f t="shared" si="42"/>
        <v>-</v>
      </c>
    </row>
    <row r="295" spans="1:26" x14ac:dyDescent="0.55000000000000004">
      <c r="A295" s="83"/>
      <c r="B295" s="83"/>
      <c r="C295" s="15">
        <v>15.5</v>
      </c>
      <c r="D295" s="36">
        <f t="shared" si="43"/>
        <v>0.2356</v>
      </c>
      <c r="E295" s="36">
        <f t="shared" si="43"/>
        <v>0.32394999999999996</v>
      </c>
      <c r="F295" s="36">
        <f t="shared" si="43"/>
        <v>0.40144999999999997</v>
      </c>
      <c r="G295" s="36">
        <f t="shared" si="43"/>
        <v>0.51150000000000007</v>
      </c>
      <c r="H295" s="36">
        <f t="shared" si="43"/>
        <v>0.75329999999999997</v>
      </c>
      <c r="I295" s="36">
        <f t="shared" si="43"/>
        <v>1.0323</v>
      </c>
      <c r="J295" s="36">
        <f t="shared" si="43"/>
        <v>1.3547</v>
      </c>
      <c r="K295" s="36">
        <f t="shared" si="43"/>
        <v>1.7453000000000001</v>
      </c>
      <c r="L295" s="36">
        <f t="shared" si="43"/>
        <v>2.1886000000000001</v>
      </c>
      <c r="M295" s="36">
        <f t="shared" si="43"/>
        <v>2.6799499999999998</v>
      </c>
      <c r="N295" s="36">
        <f t="shared" si="43"/>
        <v>3.22865</v>
      </c>
      <c r="O295" s="36">
        <f t="shared" si="43"/>
        <v>3.8207499999999999</v>
      </c>
      <c r="P295" s="36">
        <f t="shared" si="43"/>
        <v>4.4733000000000001</v>
      </c>
      <c r="Q295" s="36">
        <f t="shared" si="43"/>
        <v>5.1583999999999994</v>
      </c>
      <c r="R295" s="36">
        <f t="shared" si="43"/>
        <v>5.8837999999999999</v>
      </c>
      <c r="S295" s="36">
        <f t="shared" si="43"/>
        <v>7.5361000000000002</v>
      </c>
      <c r="T295" s="36">
        <f t="shared" si="42"/>
        <v>9.3899000000000008</v>
      </c>
      <c r="U295" s="36">
        <f t="shared" si="42"/>
        <v>11.4049</v>
      </c>
      <c r="V295" s="36">
        <f t="shared" si="42"/>
        <v>13.6617</v>
      </c>
      <c r="W295" s="36">
        <f t="shared" si="42"/>
        <v>16.3215</v>
      </c>
      <c r="X295" s="36">
        <f t="shared" si="42"/>
        <v>19.021599999999999</v>
      </c>
      <c r="Y295" s="36">
        <f t="shared" si="42"/>
        <v>21.358999999999998</v>
      </c>
      <c r="Z295" s="36" t="str">
        <f t="shared" si="42"/>
        <v>-</v>
      </c>
    </row>
    <row r="296" spans="1:26" x14ac:dyDescent="0.55000000000000004">
      <c r="A296" s="83"/>
      <c r="B296" s="83"/>
      <c r="C296" s="15">
        <v>15.75</v>
      </c>
      <c r="D296" s="36">
        <f t="shared" si="43"/>
        <v>0.2394</v>
      </c>
      <c r="E296" s="36">
        <f t="shared" si="43"/>
        <v>0.329175</v>
      </c>
      <c r="F296" s="36">
        <f t="shared" si="43"/>
        <v>0.40792499999999998</v>
      </c>
      <c r="G296" s="36">
        <f t="shared" si="43"/>
        <v>0.51975000000000005</v>
      </c>
      <c r="H296" s="36">
        <f t="shared" si="43"/>
        <v>0.76544999999999996</v>
      </c>
      <c r="I296" s="36">
        <f t="shared" si="43"/>
        <v>1.04895</v>
      </c>
      <c r="J296" s="36">
        <f t="shared" si="43"/>
        <v>1.3765500000000002</v>
      </c>
      <c r="K296" s="36">
        <f t="shared" si="43"/>
        <v>1.7734500000000002</v>
      </c>
      <c r="L296" s="36">
        <f t="shared" si="43"/>
        <v>2.2239</v>
      </c>
      <c r="M296" s="36">
        <f t="shared" si="43"/>
        <v>2.7231749999999999</v>
      </c>
      <c r="N296" s="36">
        <f t="shared" si="43"/>
        <v>3.2807250000000003</v>
      </c>
      <c r="O296" s="36">
        <f t="shared" si="43"/>
        <v>3.8823750000000001</v>
      </c>
      <c r="P296" s="36">
        <f t="shared" si="43"/>
        <v>4.5454500000000007</v>
      </c>
      <c r="Q296" s="36">
        <f t="shared" si="43"/>
        <v>5.2416</v>
      </c>
      <c r="R296" s="36">
        <f t="shared" si="43"/>
        <v>5.9786999999999999</v>
      </c>
      <c r="S296" s="36">
        <f t="shared" si="43"/>
        <v>7.6576500000000003</v>
      </c>
      <c r="T296" s="36">
        <f t="shared" si="42"/>
        <v>9.5413499999999996</v>
      </c>
      <c r="U296" s="36">
        <f t="shared" si="42"/>
        <v>11.588850000000001</v>
      </c>
      <c r="V296" s="36">
        <f t="shared" si="42"/>
        <v>13.88205</v>
      </c>
      <c r="W296" s="36">
        <f t="shared" si="42"/>
        <v>16.58475</v>
      </c>
      <c r="X296" s="36">
        <f t="shared" si="42"/>
        <v>19.328400000000002</v>
      </c>
      <c r="Y296" s="36">
        <f t="shared" si="42"/>
        <v>21.703499999999998</v>
      </c>
      <c r="Z296" s="36" t="str">
        <f t="shared" si="42"/>
        <v>-</v>
      </c>
    </row>
    <row r="297" spans="1:26" x14ac:dyDescent="0.55000000000000004">
      <c r="A297" s="83"/>
      <c r="B297" s="83"/>
      <c r="C297" s="15">
        <v>16</v>
      </c>
      <c r="D297" s="36">
        <f t="shared" si="43"/>
        <v>0.2432</v>
      </c>
      <c r="E297" s="36">
        <f t="shared" si="43"/>
        <v>0.33439999999999998</v>
      </c>
      <c r="F297" s="36">
        <f t="shared" si="43"/>
        <v>0.41439999999999999</v>
      </c>
      <c r="G297" s="36">
        <f t="shared" si="43"/>
        <v>0.52800000000000002</v>
      </c>
      <c r="H297" s="36">
        <f t="shared" si="43"/>
        <v>0.77759999999999996</v>
      </c>
      <c r="I297" s="36">
        <f t="shared" si="43"/>
        <v>1.0656000000000001</v>
      </c>
      <c r="J297" s="36">
        <f t="shared" si="43"/>
        <v>1.3984000000000001</v>
      </c>
      <c r="K297" s="36">
        <f t="shared" si="43"/>
        <v>1.8016000000000001</v>
      </c>
      <c r="L297" s="36">
        <f t="shared" si="43"/>
        <v>2.2591999999999999</v>
      </c>
      <c r="M297" s="36">
        <f t="shared" si="43"/>
        <v>2.7664</v>
      </c>
      <c r="N297" s="36">
        <f t="shared" si="43"/>
        <v>3.3328000000000002</v>
      </c>
      <c r="O297" s="36">
        <f t="shared" si="43"/>
        <v>3.944</v>
      </c>
      <c r="P297" s="36">
        <f t="shared" si="43"/>
        <v>4.6176000000000004</v>
      </c>
      <c r="Q297" s="36">
        <f t="shared" si="43"/>
        <v>5.3247999999999998</v>
      </c>
      <c r="R297" s="36">
        <f t="shared" si="43"/>
        <v>6.0735999999999999</v>
      </c>
      <c r="S297" s="36">
        <f t="shared" si="43"/>
        <v>7.7792000000000003</v>
      </c>
      <c r="T297" s="36">
        <f t="shared" si="42"/>
        <v>9.6928000000000001</v>
      </c>
      <c r="U297" s="36">
        <f t="shared" si="42"/>
        <v>11.7728</v>
      </c>
      <c r="V297" s="36">
        <f t="shared" si="42"/>
        <v>14.102399999999999</v>
      </c>
      <c r="W297" s="36">
        <f t="shared" si="42"/>
        <v>16.847999999999999</v>
      </c>
      <c r="X297" s="36">
        <f t="shared" si="42"/>
        <v>19.635200000000001</v>
      </c>
      <c r="Y297" s="36">
        <f t="shared" si="42"/>
        <v>22.047999999999998</v>
      </c>
      <c r="Z297" s="36">
        <f t="shared" si="42"/>
        <v>25.3264</v>
      </c>
    </row>
    <row r="298" spans="1:26" x14ac:dyDescent="0.55000000000000004">
      <c r="A298" s="83"/>
      <c r="B298" s="83"/>
      <c r="C298" s="15">
        <v>16.25</v>
      </c>
      <c r="D298" s="36">
        <f t="shared" si="43"/>
        <v>0.247</v>
      </c>
      <c r="E298" s="36">
        <f t="shared" si="43"/>
        <v>0.33962499999999995</v>
      </c>
      <c r="F298" s="36">
        <f t="shared" si="43"/>
        <v>0.420875</v>
      </c>
      <c r="G298" s="36">
        <f t="shared" si="43"/>
        <v>0.53625</v>
      </c>
      <c r="H298" s="36">
        <f t="shared" si="43"/>
        <v>0.78974999999999995</v>
      </c>
      <c r="I298" s="36">
        <f t="shared" si="43"/>
        <v>1.0822500000000002</v>
      </c>
      <c r="J298" s="36">
        <f t="shared" si="43"/>
        <v>1.42025</v>
      </c>
      <c r="K298" s="36">
        <f t="shared" si="43"/>
        <v>1.82975</v>
      </c>
      <c r="L298" s="36">
        <f t="shared" si="43"/>
        <v>2.2944999999999998</v>
      </c>
      <c r="M298" s="36">
        <f t="shared" si="43"/>
        <v>2.809625</v>
      </c>
      <c r="N298" s="36">
        <f t="shared" si="43"/>
        <v>3.3848750000000001</v>
      </c>
      <c r="O298" s="36">
        <f t="shared" si="43"/>
        <v>4.0056250000000002</v>
      </c>
      <c r="P298" s="36">
        <f t="shared" si="43"/>
        <v>4.6897500000000001</v>
      </c>
      <c r="Q298" s="36">
        <f t="shared" si="43"/>
        <v>5.4079999999999995</v>
      </c>
      <c r="R298" s="36">
        <f t="shared" si="43"/>
        <v>6.1684999999999999</v>
      </c>
      <c r="S298" s="36">
        <f t="shared" si="43"/>
        <v>7.9007500000000004</v>
      </c>
      <c r="T298" s="36">
        <f t="shared" si="42"/>
        <v>9.8442500000000006</v>
      </c>
      <c r="U298" s="36">
        <f t="shared" si="42"/>
        <v>11.95675</v>
      </c>
      <c r="V298" s="36">
        <f t="shared" si="42"/>
        <v>14.322749999999999</v>
      </c>
      <c r="W298" s="36">
        <f t="shared" si="42"/>
        <v>17.111249999999998</v>
      </c>
      <c r="X298" s="36">
        <f t="shared" si="42"/>
        <v>19.942</v>
      </c>
      <c r="Y298" s="36">
        <f t="shared" si="42"/>
        <v>22.392499999999998</v>
      </c>
      <c r="Z298" s="36">
        <f t="shared" si="42"/>
        <v>25.722124999999998</v>
      </c>
    </row>
    <row r="299" spans="1:26" x14ac:dyDescent="0.55000000000000004">
      <c r="A299" s="83"/>
      <c r="B299" s="83"/>
      <c r="C299" s="15">
        <v>16.5</v>
      </c>
      <c r="D299" s="36">
        <f t="shared" si="43"/>
        <v>0.25080000000000002</v>
      </c>
      <c r="E299" s="36">
        <f t="shared" si="43"/>
        <v>0.34484999999999999</v>
      </c>
      <c r="F299" s="36">
        <f t="shared" si="43"/>
        <v>0.42735000000000001</v>
      </c>
      <c r="G299" s="36">
        <f t="shared" si="43"/>
        <v>0.54449999999999998</v>
      </c>
      <c r="H299" s="36">
        <f t="shared" si="43"/>
        <v>0.80189999999999995</v>
      </c>
      <c r="I299" s="36">
        <f t="shared" si="43"/>
        <v>1.0989000000000002</v>
      </c>
      <c r="J299" s="36">
        <f t="shared" si="43"/>
        <v>1.4421000000000002</v>
      </c>
      <c r="K299" s="36">
        <f t="shared" si="43"/>
        <v>1.8579000000000001</v>
      </c>
      <c r="L299" s="36">
        <f t="shared" si="43"/>
        <v>2.3297999999999996</v>
      </c>
      <c r="M299" s="36">
        <f t="shared" si="43"/>
        <v>2.8528500000000001</v>
      </c>
      <c r="N299" s="36">
        <f t="shared" si="43"/>
        <v>3.4369500000000004</v>
      </c>
      <c r="O299" s="36">
        <f t="shared" si="43"/>
        <v>4.0672499999999996</v>
      </c>
      <c r="P299" s="36">
        <f t="shared" si="43"/>
        <v>4.7619000000000007</v>
      </c>
      <c r="Q299" s="36">
        <f t="shared" si="43"/>
        <v>5.4912000000000001</v>
      </c>
      <c r="R299" s="36">
        <f t="shared" si="43"/>
        <v>6.2633999999999999</v>
      </c>
      <c r="S299" s="36">
        <f t="shared" si="43"/>
        <v>8.0222999999999995</v>
      </c>
      <c r="T299" s="36">
        <f t="shared" si="42"/>
        <v>9.9956999999999994</v>
      </c>
      <c r="U299" s="36">
        <f t="shared" si="42"/>
        <v>12.140700000000001</v>
      </c>
      <c r="V299" s="36">
        <f t="shared" si="42"/>
        <v>14.543099999999999</v>
      </c>
      <c r="W299" s="36">
        <f t="shared" si="42"/>
        <v>17.374499999999998</v>
      </c>
      <c r="X299" s="36">
        <f t="shared" si="42"/>
        <v>20.248800000000003</v>
      </c>
      <c r="Y299" s="36">
        <f t="shared" si="42"/>
        <v>22.736999999999998</v>
      </c>
      <c r="Z299" s="36">
        <f t="shared" si="42"/>
        <v>26.117850000000001</v>
      </c>
    </row>
    <row r="300" spans="1:26" x14ac:dyDescent="0.55000000000000004">
      <c r="A300" s="83"/>
      <c r="B300" s="83"/>
      <c r="C300" s="15">
        <v>16.75</v>
      </c>
      <c r="D300" s="36">
        <f t="shared" si="43"/>
        <v>0.25459999999999999</v>
      </c>
      <c r="E300" s="36">
        <f t="shared" si="43"/>
        <v>0.35007499999999997</v>
      </c>
      <c r="F300" s="36">
        <f t="shared" si="43"/>
        <v>0.43382500000000002</v>
      </c>
      <c r="G300" s="36">
        <f t="shared" si="43"/>
        <v>0.55275000000000007</v>
      </c>
      <c r="H300" s="36">
        <f t="shared" si="43"/>
        <v>0.81404999999999994</v>
      </c>
      <c r="I300" s="36">
        <f t="shared" si="43"/>
        <v>1.11555</v>
      </c>
      <c r="J300" s="36">
        <f t="shared" si="43"/>
        <v>1.4639500000000001</v>
      </c>
      <c r="K300" s="36">
        <f t="shared" si="43"/>
        <v>1.88605</v>
      </c>
      <c r="L300" s="36">
        <f t="shared" si="43"/>
        <v>2.3651</v>
      </c>
      <c r="M300" s="36">
        <f t="shared" si="43"/>
        <v>2.8960750000000002</v>
      </c>
      <c r="N300" s="36">
        <f t="shared" si="43"/>
        <v>3.4890250000000003</v>
      </c>
      <c r="O300" s="36">
        <f t="shared" si="43"/>
        <v>4.1288749999999999</v>
      </c>
      <c r="P300" s="36">
        <f t="shared" si="43"/>
        <v>4.8340500000000004</v>
      </c>
      <c r="Q300" s="36">
        <f t="shared" si="43"/>
        <v>5.5743999999999998</v>
      </c>
      <c r="R300" s="36">
        <f t="shared" si="43"/>
        <v>6.3582999999999998</v>
      </c>
      <c r="S300" s="36">
        <f t="shared" ref="S300:Z313" si="44">IF($C300&gt;=(4*S$238),(($C300*S$240)*1),"-")</f>
        <v>8.1438500000000005</v>
      </c>
      <c r="T300" s="36">
        <f t="shared" si="44"/>
        <v>10.14715</v>
      </c>
      <c r="U300" s="36">
        <f t="shared" si="44"/>
        <v>12.32465</v>
      </c>
      <c r="V300" s="36">
        <f t="shared" si="44"/>
        <v>14.763449999999999</v>
      </c>
      <c r="W300" s="36">
        <f t="shared" si="44"/>
        <v>17.63775</v>
      </c>
      <c r="X300" s="36">
        <f t="shared" si="44"/>
        <v>20.555600000000002</v>
      </c>
      <c r="Y300" s="36">
        <f t="shared" si="44"/>
        <v>23.081499999999998</v>
      </c>
      <c r="Z300" s="36">
        <f t="shared" si="44"/>
        <v>26.513574999999999</v>
      </c>
    </row>
    <row r="301" spans="1:26" x14ac:dyDescent="0.55000000000000004">
      <c r="A301" s="83"/>
      <c r="B301" s="83"/>
      <c r="C301" s="15">
        <v>17</v>
      </c>
      <c r="D301" s="36">
        <f t="shared" ref="D301:S313" si="45">IF($C301&gt;=(4*D$238),(($C301*D$240)*1),"-")</f>
        <v>0.25840000000000002</v>
      </c>
      <c r="E301" s="36">
        <f t="shared" si="45"/>
        <v>0.35529999999999995</v>
      </c>
      <c r="F301" s="36">
        <f t="shared" si="45"/>
        <v>0.44029999999999997</v>
      </c>
      <c r="G301" s="36">
        <f t="shared" si="45"/>
        <v>0.56100000000000005</v>
      </c>
      <c r="H301" s="36">
        <f t="shared" si="45"/>
        <v>0.82619999999999993</v>
      </c>
      <c r="I301" s="36">
        <f t="shared" si="45"/>
        <v>1.1322000000000001</v>
      </c>
      <c r="J301" s="36">
        <f t="shared" si="45"/>
        <v>1.4858</v>
      </c>
      <c r="K301" s="36">
        <f t="shared" si="45"/>
        <v>1.9142000000000001</v>
      </c>
      <c r="L301" s="36">
        <f t="shared" si="45"/>
        <v>2.4003999999999999</v>
      </c>
      <c r="M301" s="36">
        <f t="shared" si="45"/>
        <v>2.9392999999999998</v>
      </c>
      <c r="N301" s="36">
        <f t="shared" si="45"/>
        <v>3.5411000000000001</v>
      </c>
      <c r="O301" s="36">
        <f t="shared" si="45"/>
        <v>4.1905000000000001</v>
      </c>
      <c r="P301" s="36">
        <f t="shared" si="45"/>
        <v>4.9062000000000001</v>
      </c>
      <c r="Q301" s="36">
        <f t="shared" si="45"/>
        <v>5.6575999999999995</v>
      </c>
      <c r="R301" s="36">
        <f t="shared" si="45"/>
        <v>6.4531999999999998</v>
      </c>
      <c r="S301" s="36">
        <f t="shared" si="45"/>
        <v>8.2653999999999996</v>
      </c>
      <c r="T301" s="36">
        <f t="shared" si="44"/>
        <v>10.2986</v>
      </c>
      <c r="U301" s="36">
        <f t="shared" si="44"/>
        <v>12.508599999999999</v>
      </c>
      <c r="V301" s="36">
        <f t="shared" si="44"/>
        <v>14.983799999999999</v>
      </c>
      <c r="W301" s="36">
        <f t="shared" si="44"/>
        <v>17.901</v>
      </c>
      <c r="X301" s="36">
        <f t="shared" si="44"/>
        <v>20.862400000000001</v>
      </c>
      <c r="Y301" s="36">
        <f t="shared" si="44"/>
        <v>23.425999999999998</v>
      </c>
      <c r="Z301" s="36">
        <f t="shared" si="44"/>
        <v>26.909299999999998</v>
      </c>
    </row>
    <row r="302" spans="1:26" x14ac:dyDescent="0.55000000000000004">
      <c r="A302" s="83"/>
      <c r="B302" s="83"/>
      <c r="C302" s="15">
        <v>17.25</v>
      </c>
      <c r="D302" s="36">
        <f t="shared" si="45"/>
        <v>0.26219999999999999</v>
      </c>
      <c r="E302" s="36">
        <f t="shared" si="45"/>
        <v>0.36052499999999998</v>
      </c>
      <c r="F302" s="36">
        <f t="shared" si="45"/>
        <v>0.44677499999999998</v>
      </c>
      <c r="G302" s="36">
        <f t="shared" si="45"/>
        <v>0.56925000000000003</v>
      </c>
      <c r="H302" s="36">
        <f t="shared" si="45"/>
        <v>0.83834999999999993</v>
      </c>
      <c r="I302" s="36">
        <f t="shared" si="45"/>
        <v>1.1488500000000001</v>
      </c>
      <c r="J302" s="36">
        <f t="shared" si="45"/>
        <v>1.5076500000000002</v>
      </c>
      <c r="K302" s="36">
        <f t="shared" si="45"/>
        <v>1.94235</v>
      </c>
      <c r="L302" s="36">
        <f t="shared" si="45"/>
        <v>2.4356999999999998</v>
      </c>
      <c r="M302" s="36">
        <f t="shared" si="45"/>
        <v>2.9825249999999999</v>
      </c>
      <c r="N302" s="36">
        <f t="shared" si="45"/>
        <v>3.593175</v>
      </c>
      <c r="O302" s="36">
        <f t="shared" si="45"/>
        <v>4.2521250000000004</v>
      </c>
      <c r="P302" s="36">
        <f t="shared" si="45"/>
        <v>4.9783500000000007</v>
      </c>
      <c r="Q302" s="36">
        <f t="shared" si="45"/>
        <v>5.7408000000000001</v>
      </c>
      <c r="R302" s="36">
        <f t="shared" si="45"/>
        <v>6.5480999999999998</v>
      </c>
      <c r="S302" s="36">
        <f t="shared" si="45"/>
        <v>8.3869500000000006</v>
      </c>
      <c r="T302" s="36">
        <f t="shared" si="44"/>
        <v>10.450050000000001</v>
      </c>
      <c r="U302" s="36">
        <f t="shared" si="44"/>
        <v>12.692550000000001</v>
      </c>
      <c r="V302" s="36">
        <f t="shared" si="44"/>
        <v>15.204149999999998</v>
      </c>
      <c r="W302" s="36">
        <f t="shared" si="44"/>
        <v>18.164249999999999</v>
      </c>
      <c r="X302" s="36">
        <f t="shared" si="44"/>
        <v>21.1692</v>
      </c>
      <c r="Y302" s="36">
        <f t="shared" si="44"/>
        <v>23.770499999999998</v>
      </c>
      <c r="Z302" s="36">
        <f t="shared" si="44"/>
        <v>27.305025000000001</v>
      </c>
    </row>
    <row r="303" spans="1:26" x14ac:dyDescent="0.55000000000000004">
      <c r="A303" s="83"/>
      <c r="B303" s="83"/>
      <c r="C303" s="15">
        <v>17.5</v>
      </c>
      <c r="D303" s="36">
        <f t="shared" si="45"/>
        <v>0.26600000000000001</v>
      </c>
      <c r="E303" s="36">
        <f t="shared" si="45"/>
        <v>0.36574999999999996</v>
      </c>
      <c r="F303" s="36">
        <f t="shared" si="45"/>
        <v>0.45324999999999999</v>
      </c>
      <c r="G303" s="36">
        <f t="shared" si="45"/>
        <v>0.57750000000000001</v>
      </c>
      <c r="H303" s="36">
        <f t="shared" si="45"/>
        <v>0.85049999999999992</v>
      </c>
      <c r="I303" s="36">
        <f t="shared" si="45"/>
        <v>1.1655000000000002</v>
      </c>
      <c r="J303" s="36">
        <f t="shared" si="45"/>
        <v>1.5295000000000001</v>
      </c>
      <c r="K303" s="36">
        <f t="shared" si="45"/>
        <v>1.9705000000000001</v>
      </c>
      <c r="L303" s="36">
        <f t="shared" si="45"/>
        <v>2.4710000000000001</v>
      </c>
      <c r="M303" s="36">
        <f t="shared" si="45"/>
        <v>3.0257499999999999</v>
      </c>
      <c r="N303" s="36">
        <f t="shared" si="45"/>
        <v>3.6452500000000003</v>
      </c>
      <c r="O303" s="36">
        <f t="shared" si="45"/>
        <v>4.3137499999999998</v>
      </c>
      <c r="P303" s="36">
        <f t="shared" si="45"/>
        <v>5.0505000000000004</v>
      </c>
      <c r="Q303" s="36">
        <f t="shared" si="45"/>
        <v>5.8239999999999998</v>
      </c>
      <c r="R303" s="36">
        <f t="shared" si="45"/>
        <v>6.6429999999999998</v>
      </c>
      <c r="S303" s="36">
        <f t="shared" si="45"/>
        <v>8.5084999999999997</v>
      </c>
      <c r="T303" s="36">
        <f t="shared" si="44"/>
        <v>10.6015</v>
      </c>
      <c r="U303" s="36">
        <f t="shared" si="44"/>
        <v>12.8765</v>
      </c>
      <c r="V303" s="36">
        <f t="shared" si="44"/>
        <v>15.4245</v>
      </c>
      <c r="W303" s="36">
        <f t="shared" si="44"/>
        <v>18.427499999999998</v>
      </c>
      <c r="X303" s="36">
        <f t="shared" si="44"/>
        <v>21.476000000000003</v>
      </c>
      <c r="Y303" s="36">
        <f t="shared" si="44"/>
        <v>24.114999999999998</v>
      </c>
      <c r="Z303" s="36">
        <f t="shared" si="44"/>
        <v>27.700749999999999</v>
      </c>
    </row>
    <row r="304" spans="1:26" x14ac:dyDescent="0.55000000000000004">
      <c r="A304" s="83"/>
      <c r="B304" s="83"/>
      <c r="C304" s="15">
        <v>17.75</v>
      </c>
      <c r="D304" s="36">
        <f t="shared" si="45"/>
        <v>0.26979999999999998</v>
      </c>
      <c r="E304" s="36">
        <f t="shared" si="45"/>
        <v>0.370975</v>
      </c>
      <c r="F304" s="36">
        <f t="shared" si="45"/>
        <v>0.45972499999999999</v>
      </c>
      <c r="G304" s="36">
        <f t="shared" si="45"/>
        <v>0.58574999999999999</v>
      </c>
      <c r="H304" s="36">
        <f t="shared" si="45"/>
        <v>0.86264999999999992</v>
      </c>
      <c r="I304" s="36">
        <f t="shared" si="45"/>
        <v>1.18215</v>
      </c>
      <c r="J304" s="36">
        <f t="shared" si="45"/>
        <v>1.55135</v>
      </c>
      <c r="K304" s="36">
        <f t="shared" si="45"/>
        <v>1.99865</v>
      </c>
      <c r="L304" s="36">
        <f t="shared" si="45"/>
        <v>2.5063</v>
      </c>
      <c r="M304" s="36">
        <f t="shared" si="45"/>
        <v>3.068975</v>
      </c>
      <c r="N304" s="36">
        <f t="shared" si="45"/>
        <v>3.6973250000000002</v>
      </c>
      <c r="O304" s="36">
        <f t="shared" si="45"/>
        <v>4.375375</v>
      </c>
      <c r="P304" s="36">
        <f t="shared" si="45"/>
        <v>5.1226500000000001</v>
      </c>
      <c r="Q304" s="36">
        <f t="shared" si="45"/>
        <v>5.9071999999999996</v>
      </c>
      <c r="R304" s="36">
        <f t="shared" si="45"/>
        <v>6.7378999999999998</v>
      </c>
      <c r="S304" s="36">
        <f t="shared" si="45"/>
        <v>8.6300500000000007</v>
      </c>
      <c r="T304" s="36">
        <f t="shared" si="44"/>
        <v>10.75295</v>
      </c>
      <c r="U304" s="36">
        <f t="shared" si="44"/>
        <v>13.060449999999999</v>
      </c>
      <c r="V304" s="36">
        <f t="shared" si="44"/>
        <v>15.64485</v>
      </c>
      <c r="W304" s="36">
        <f t="shared" si="44"/>
        <v>18.690749999999998</v>
      </c>
      <c r="X304" s="36">
        <f t="shared" si="44"/>
        <v>21.782800000000002</v>
      </c>
      <c r="Y304" s="36">
        <f t="shared" si="44"/>
        <v>24.459499999999998</v>
      </c>
      <c r="Z304" s="36">
        <f t="shared" si="44"/>
        <v>28.096474999999998</v>
      </c>
    </row>
    <row r="305" spans="1:26" x14ac:dyDescent="0.55000000000000004">
      <c r="A305" s="83"/>
      <c r="B305" s="83"/>
      <c r="C305" s="15">
        <v>18</v>
      </c>
      <c r="D305" s="36">
        <f t="shared" si="45"/>
        <v>0.27360000000000001</v>
      </c>
      <c r="E305" s="36">
        <f t="shared" si="45"/>
        <v>0.37619999999999998</v>
      </c>
      <c r="F305" s="36">
        <f t="shared" si="45"/>
        <v>0.4662</v>
      </c>
      <c r="G305" s="36">
        <f t="shared" si="45"/>
        <v>0.59400000000000008</v>
      </c>
      <c r="H305" s="36">
        <f t="shared" si="45"/>
        <v>0.87479999999999991</v>
      </c>
      <c r="I305" s="36">
        <f t="shared" si="45"/>
        <v>1.1988000000000001</v>
      </c>
      <c r="J305" s="36">
        <f t="shared" si="45"/>
        <v>1.5732000000000002</v>
      </c>
      <c r="K305" s="36">
        <f t="shared" si="45"/>
        <v>2.0268000000000002</v>
      </c>
      <c r="L305" s="36">
        <f t="shared" si="45"/>
        <v>2.5415999999999999</v>
      </c>
      <c r="M305" s="36">
        <f t="shared" si="45"/>
        <v>3.1122000000000001</v>
      </c>
      <c r="N305" s="36">
        <f t="shared" si="45"/>
        <v>3.7494000000000001</v>
      </c>
      <c r="O305" s="36">
        <f t="shared" si="45"/>
        <v>4.4370000000000003</v>
      </c>
      <c r="P305" s="36">
        <f t="shared" si="45"/>
        <v>5.1948000000000008</v>
      </c>
      <c r="Q305" s="36">
        <f t="shared" si="45"/>
        <v>5.9903999999999993</v>
      </c>
      <c r="R305" s="36">
        <f t="shared" si="45"/>
        <v>6.8327999999999998</v>
      </c>
      <c r="S305" s="36">
        <f t="shared" si="45"/>
        <v>8.7515999999999998</v>
      </c>
      <c r="T305" s="36">
        <f t="shared" si="44"/>
        <v>10.904400000000001</v>
      </c>
      <c r="U305" s="36">
        <f t="shared" si="44"/>
        <v>13.244400000000001</v>
      </c>
      <c r="V305" s="36">
        <f t="shared" si="44"/>
        <v>15.8652</v>
      </c>
      <c r="W305" s="36">
        <f t="shared" si="44"/>
        <v>18.954000000000001</v>
      </c>
      <c r="X305" s="36">
        <f t="shared" si="44"/>
        <v>22.089600000000001</v>
      </c>
      <c r="Y305" s="36">
        <f t="shared" si="44"/>
        <v>24.803999999999998</v>
      </c>
      <c r="Z305" s="36">
        <f t="shared" si="44"/>
        <v>28.4922</v>
      </c>
    </row>
    <row r="306" spans="1:26" x14ac:dyDescent="0.55000000000000004">
      <c r="A306" s="83"/>
      <c r="B306" s="83"/>
      <c r="C306" s="15">
        <v>18.25</v>
      </c>
      <c r="D306" s="36">
        <f t="shared" si="45"/>
        <v>0.27739999999999998</v>
      </c>
      <c r="E306" s="36">
        <f t="shared" si="45"/>
        <v>0.38142499999999996</v>
      </c>
      <c r="F306" s="36">
        <f t="shared" si="45"/>
        <v>0.47267500000000001</v>
      </c>
      <c r="G306" s="36">
        <f t="shared" si="45"/>
        <v>0.60225000000000006</v>
      </c>
      <c r="H306" s="36">
        <f t="shared" si="45"/>
        <v>0.88694999999999991</v>
      </c>
      <c r="I306" s="36">
        <f t="shared" si="45"/>
        <v>1.2154500000000001</v>
      </c>
      <c r="J306" s="36">
        <f t="shared" si="45"/>
        <v>1.5950500000000001</v>
      </c>
      <c r="K306" s="36">
        <f t="shared" si="45"/>
        <v>2.0549500000000003</v>
      </c>
      <c r="L306" s="36">
        <f t="shared" si="45"/>
        <v>2.5768999999999997</v>
      </c>
      <c r="M306" s="36">
        <f t="shared" si="45"/>
        <v>3.1554250000000001</v>
      </c>
      <c r="N306" s="36">
        <f t="shared" si="45"/>
        <v>3.8014750000000004</v>
      </c>
      <c r="O306" s="36">
        <f t="shared" si="45"/>
        <v>4.4986249999999997</v>
      </c>
      <c r="P306" s="36">
        <f t="shared" si="45"/>
        <v>5.2669500000000005</v>
      </c>
      <c r="Q306" s="36">
        <f t="shared" si="45"/>
        <v>6.0735999999999999</v>
      </c>
      <c r="R306" s="36">
        <f t="shared" si="45"/>
        <v>6.9276999999999997</v>
      </c>
      <c r="S306" s="36">
        <f t="shared" si="45"/>
        <v>8.8731500000000008</v>
      </c>
      <c r="T306" s="36">
        <f t="shared" si="44"/>
        <v>11.05585</v>
      </c>
      <c r="U306" s="36">
        <f t="shared" si="44"/>
        <v>13.42835</v>
      </c>
      <c r="V306" s="36">
        <f t="shared" si="44"/>
        <v>16.085549999999998</v>
      </c>
      <c r="W306" s="36">
        <f t="shared" si="44"/>
        <v>19.21725</v>
      </c>
      <c r="X306" s="36">
        <f t="shared" si="44"/>
        <v>22.3964</v>
      </c>
      <c r="Y306" s="36">
        <f t="shared" si="44"/>
        <v>25.148499999999999</v>
      </c>
      <c r="Z306" s="36">
        <f t="shared" si="44"/>
        <v>28.887924999999999</v>
      </c>
    </row>
    <row r="307" spans="1:26" x14ac:dyDescent="0.55000000000000004">
      <c r="A307" s="83"/>
      <c r="B307" s="83"/>
      <c r="C307" s="15">
        <v>18.5</v>
      </c>
      <c r="D307" s="36">
        <f t="shared" si="45"/>
        <v>0.28120000000000001</v>
      </c>
      <c r="E307" s="36">
        <f t="shared" si="45"/>
        <v>0.38664999999999999</v>
      </c>
      <c r="F307" s="36">
        <f t="shared" si="45"/>
        <v>0.47914999999999996</v>
      </c>
      <c r="G307" s="36">
        <f t="shared" si="45"/>
        <v>0.61050000000000004</v>
      </c>
      <c r="H307" s="36">
        <f t="shared" si="45"/>
        <v>0.8990999999999999</v>
      </c>
      <c r="I307" s="36">
        <f t="shared" si="45"/>
        <v>1.2321000000000002</v>
      </c>
      <c r="J307" s="36">
        <f t="shared" si="45"/>
        <v>1.6169</v>
      </c>
      <c r="K307" s="36">
        <f t="shared" si="45"/>
        <v>2.0831</v>
      </c>
      <c r="L307" s="36">
        <f t="shared" si="45"/>
        <v>2.6121999999999996</v>
      </c>
      <c r="M307" s="36">
        <f t="shared" si="45"/>
        <v>3.1986499999999998</v>
      </c>
      <c r="N307" s="36">
        <f t="shared" si="45"/>
        <v>3.8535500000000003</v>
      </c>
      <c r="O307" s="36">
        <f t="shared" si="45"/>
        <v>4.5602499999999999</v>
      </c>
      <c r="P307" s="36">
        <f t="shared" si="45"/>
        <v>5.3391000000000002</v>
      </c>
      <c r="Q307" s="36">
        <f t="shared" si="45"/>
        <v>6.1567999999999996</v>
      </c>
      <c r="R307" s="36">
        <f t="shared" si="45"/>
        <v>7.0225999999999997</v>
      </c>
      <c r="S307" s="36">
        <f t="shared" si="45"/>
        <v>8.9946999999999999</v>
      </c>
      <c r="T307" s="36">
        <f t="shared" si="44"/>
        <v>11.2073</v>
      </c>
      <c r="U307" s="36">
        <f t="shared" si="44"/>
        <v>13.612299999999999</v>
      </c>
      <c r="V307" s="36">
        <f t="shared" si="44"/>
        <v>16.305899999999998</v>
      </c>
      <c r="W307" s="36">
        <f t="shared" si="44"/>
        <v>19.480499999999999</v>
      </c>
      <c r="X307" s="36">
        <f t="shared" si="44"/>
        <v>22.703200000000002</v>
      </c>
      <c r="Y307" s="36">
        <f t="shared" si="44"/>
        <v>25.492999999999999</v>
      </c>
      <c r="Z307" s="36">
        <f t="shared" si="44"/>
        <v>29.283649999999998</v>
      </c>
    </row>
    <row r="308" spans="1:26" x14ac:dyDescent="0.55000000000000004">
      <c r="A308" s="83"/>
      <c r="B308" s="83"/>
      <c r="C308" s="15">
        <v>18.75</v>
      </c>
      <c r="D308" s="36">
        <f t="shared" si="45"/>
        <v>0.28499999999999998</v>
      </c>
      <c r="E308" s="36">
        <f t="shared" si="45"/>
        <v>0.39187499999999997</v>
      </c>
      <c r="F308" s="36">
        <f t="shared" si="45"/>
        <v>0.48562499999999997</v>
      </c>
      <c r="G308" s="36">
        <f t="shared" si="45"/>
        <v>0.61875000000000002</v>
      </c>
      <c r="H308" s="36">
        <f t="shared" si="45"/>
        <v>0.91125</v>
      </c>
      <c r="I308" s="36">
        <f t="shared" si="45"/>
        <v>1.24875</v>
      </c>
      <c r="J308" s="36">
        <f t="shared" si="45"/>
        <v>1.6387500000000002</v>
      </c>
      <c r="K308" s="36">
        <f t="shared" si="45"/>
        <v>2.1112500000000001</v>
      </c>
      <c r="L308" s="36">
        <f t="shared" si="45"/>
        <v>2.6475</v>
      </c>
      <c r="M308" s="36">
        <f t="shared" si="45"/>
        <v>3.2418749999999998</v>
      </c>
      <c r="N308" s="36">
        <f t="shared" si="45"/>
        <v>3.9056250000000001</v>
      </c>
      <c r="O308" s="36">
        <f t="shared" si="45"/>
        <v>4.6218750000000002</v>
      </c>
      <c r="P308" s="36">
        <f t="shared" si="45"/>
        <v>5.4112500000000008</v>
      </c>
      <c r="Q308" s="36">
        <f t="shared" si="45"/>
        <v>6.2399999999999993</v>
      </c>
      <c r="R308" s="36">
        <f t="shared" si="45"/>
        <v>7.1174999999999997</v>
      </c>
      <c r="S308" s="36">
        <f t="shared" si="45"/>
        <v>9.1162500000000009</v>
      </c>
      <c r="T308" s="36">
        <f t="shared" si="44"/>
        <v>11.358750000000001</v>
      </c>
      <c r="U308" s="36">
        <f t="shared" si="44"/>
        <v>13.796250000000001</v>
      </c>
      <c r="V308" s="36">
        <f t="shared" si="44"/>
        <v>16.526250000000001</v>
      </c>
      <c r="W308" s="36">
        <f t="shared" si="44"/>
        <v>19.743749999999999</v>
      </c>
      <c r="X308" s="36">
        <f t="shared" si="44"/>
        <v>23.01</v>
      </c>
      <c r="Y308" s="36">
        <f t="shared" si="44"/>
        <v>25.837499999999999</v>
      </c>
      <c r="Z308" s="36">
        <f t="shared" si="44"/>
        <v>29.679375</v>
      </c>
    </row>
    <row r="309" spans="1:26" x14ac:dyDescent="0.55000000000000004">
      <c r="A309" s="83"/>
      <c r="B309" s="83"/>
      <c r="C309" s="15">
        <v>19</v>
      </c>
      <c r="D309" s="36">
        <f t="shared" si="45"/>
        <v>0.2888</v>
      </c>
      <c r="E309" s="36">
        <f t="shared" si="45"/>
        <v>0.39709999999999995</v>
      </c>
      <c r="F309" s="36">
        <f t="shared" si="45"/>
        <v>0.49209999999999998</v>
      </c>
      <c r="G309" s="36">
        <f t="shared" si="45"/>
        <v>0.627</v>
      </c>
      <c r="H309" s="36">
        <f t="shared" si="45"/>
        <v>0.9234</v>
      </c>
      <c r="I309" s="36">
        <f t="shared" si="45"/>
        <v>1.2654000000000001</v>
      </c>
      <c r="J309" s="36">
        <f t="shared" si="45"/>
        <v>1.6606000000000001</v>
      </c>
      <c r="K309" s="36">
        <f t="shared" si="45"/>
        <v>2.1394000000000002</v>
      </c>
      <c r="L309" s="36">
        <f t="shared" si="45"/>
        <v>2.6827999999999999</v>
      </c>
      <c r="M309" s="36">
        <f t="shared" si="45"/>
        <v>3.2850999999999999</v>
      </c>
      <c r="N309" s="36">
        <f t="shared" si="45"/>
        <v>3.9577000000000004</v>
      </c>
      <c r="O309" s="36">
        <f t="shared" si="45"/>
        <v>4.6834999999999996</v>
      </c>
      <c r="P309" s="36">
        <f t="shared" si="45"/>
        <v>5.4834000000000005</v>
      </c>
      <c r="Q309" s="36">
        <f t="shared" si="45"/>
        <v>6.3231999999999999</v>
      </c>
      <c r="R309" s="36">
        <f t="shared" si="45"/>
        <v>7.2123999999999997</v>
      </c>
      <c r="S309" s="36">
        <f t="shared" si="45"/>
        <v>9.2378</v>
      </c>
      <c r="T309" s="36">
        <f t="shared" si="44"/>
        <v>11.510199999999999</v>
      </c>
      <c r="U309" s="36">
        <f t="shared" si="44"/>
        <v>13.9802</v>
      </c>
      <c r="V309" s="36">
        <f t="shared" si="44"/>
        <v>16.746600000000001</v>
      </c>
      <c r="W309" s="36">
        <f t="shared" si="44"/>
        <v>20.006999999999998</v>
      </c>
      <c r="X309" s="36">
        <f t="shared" si="44"/>
        <v>23.316800000000001</v>
      </c>
      <c r="Y309" s="36">
        <f t="shared" si="44"/>
        <v>26.181999999999999</v>
      </c>
      <c r="Z309" s="36">
        <f t="shared" si="44"/>
        <v>30.075099999999999</v>
      </c>
    </row>
    <row r="310" spans="1:26" x14ac:dyDescent="0.55000000000000004">
      <c r="A310" s="83"/>
      <c r="B310" s="83"/>
      <c r="C310" s="15">
        <v>19.25</v>
      </c>
      <c r="D310" s="36">
        <f t="shared" si="45"/>
        <v>0.29260000000000003</v>
      </c>
      <c r="E310" s="36">
        <f t="shared" si="45"/>
        <v>0.40232499999999999</v>
      </c>
      <c r="F310" s="36">
        <f t="shared" si="45"/>
        <v>0.49857499999999999</v>
      </c>
      <c r="G310" s="36">
        <f t="shared" si="45"/>
        <v>0.63524999999999998</v>
      </c>
      <c r="H310" s="36">
        <f t="shared" si="45"/>
        <v>0.93554999999999999</v>
      </c>
      <c r="I310" s="36">
        <f t="shared" si="45"/>
        <v>1.2820500000000001</v>
      </c>
      <c r="J310" s="36">
        <f t="shared" si="45"/>
        <v>1.68245</v>
      </c>
      <c r="K310" s="36">
        <f t="shared" si="45"/>
        <v>2.1675500000000003</v>
      </c>
      <c r="L310" s="36">
        <f t="shared" si="45"/>
        <v>2.7180999999999997</v>
      </c>
      <c r="M310" s="36">
        <f t="shared" si="45"/>
        <v>3.328325</v>
      </c>
      <c r="N310" s="36">
        <f t="shared" si="45"/>
        <v>4.0097750000000003</v>
      </c>
      <c r="O310" s="36">
        <f t="shared" si="45"/>
        <v>4.7451249999999998</v>
      </c>
      <c r="P310" s="36">
        <f t="shared" si="45"/>
        <v>5.5555500000000002</v>
      </c>
      <c r="Q310" s="36">
        <f t="shared" si="45"/>
        <v>6.4063999999999997</v>
      </c>
      <c r="R310" s="36">
        <f t="shared" si="45"/>
        <v>7.3072999999999997</v>
      </c>
      <c r="S310" s="36">
        <f t="shared" si="45"/>
        <v>9.3593500000000009</v>
      </c>
      <c r="T310" s="36">
        <f t="shared" si="44"/>
        <v>11.66165</v>
      </c>
      <c r="U310" s="36">
        <f t="shared" si="44"/>
        <v>14.164149999999999</v>
      </c>
      <c r="V310" s="36">
        <f t="shared" si="44"/>
        <v>16.966950000000001</v>
      </c>
      <c r="W310" s="36">
        <f t="shared" si="44"/>
        <v>20.270249999999997</v>
      </c>
      <c r="X310" s="36">
        <f t="shared" si="44"/>
        <v>23.6236</v>
      </c>
      <c r="Y310" s="36">
        <f t="shared" si="44"/>
        <v>26.526499999999999</v>
      </c>
      <c r="Z310" s="36">
        <f t="shared" si="44"/>
        <v>30.470824999999998</v>
      </c>
    </row>
    <row r="311" spans="1:26" x14ac:dyDescent="0.55000000000000004">
      <c r="A311" s="83"/>
      <c r="B311" s="83"/>
      <c r="C311" s="15">
        <v>19.5</v>
      </c>
      <c r="D311" s="36">
        <f t="shared" si="45"/>
        <v>0.2964</v>
      </c>
      <c r="E311" s="36">
        <f t="shared" si="45"/>
        <v>0.40754999999999997</v>
      </c>
      <c r="F311" s="36">
        <f t="shared" si="45"/>
        <v>0.50505</v>
      </c>
      <c r="G311" s="36">
        <f t="shared" si="45"/>
        <v>0.64350000000000007</v>
      </c>
      <c r="H311" s="36">
        <f t="shared" si="45"/>
        <v>0.94769999999999999</v>
      </c>
      <c r="I311" s="36">
        <f t="shared" si="45"/>
        <v>1.2987000000000002</v>
      </c>
      <c r="J311" s="36">
        <f t="shared" si="45"/>
        <v>1.7043000000000001</v>
      </c>
      <c r="K311" s="36">
        <f t="shared" si="45"/>
        <v>2.1957</v>
      </c>
      <c r="L311" s="36">
        <f t="shared" si="45"/>
        <v>2.7534000000000001</v>
      </c>
      <c r="M311" s="36">
        <f t="shared" si="45"/>
        <v>3.37155</v>
      </c>
      <c r="N311" s="36">
        <f t="shared" si="45"/>
        <v>4.0618500000000006</v>
      </c>
      <c r="O311" s="36">
        <f t="shared" si="45"/>
        <v>4.8067500000000001</v>
      </c>
      <c r="P311" s="36">
        <f t="shared" si="45"/>
        <v>5.6277000000000008</v>
      </c>
      <c r="Q311" s="36">
        <f t="shared" si="45"/>
        <v>6.4895999999999994</v>
      </c>
      <c r="R311" s="36">
        <f t="shared" si="45"/>
        <v>7.4021999999999997</v>
      </c>
      <c r="S311" s="36">
        <f t="shared" si="45"/>
        <v>9.4809000000000001</v>
      </c>
      <c r="T311" s="36">
        <f t="shared" si="44"/>
        <v>11.8131</v>
      </c>
      <c r="U311" s="36">
        <f t="shared" si="44"/>
        <v>14.348100000000001</v>
      </c>
      <c r="V311" s="36">
        <f t="shared" si="44"/>
        <v>17.1873</v>
      </c>
      <c r="W311" s="36">
        <f t="shared" si="44"/>
        <v>20.5335</v>
      </c>
      <c r="X311" s="36">
        <f t="shared" si="44"/>
        <v>23.930400000000002</v>
      </c>
      <c r="Y311" s="36">
        <f t="shared" si="44"/>
        <v>26.870999999999999</v>
      </c>
      <c r="Z311" s="36">
        <f t="shared" si="44"/>
        <v>30.86655</v>
      </c>
    </row>
    <row r="312" spans="1:26" x14ac:dyDescent="0.55000000000000004">
      <c r="A312" s="83"/>
      <c r="B312" s="83"/>
      <c r="C312" s="15">
        <v>19.75</v>
      </c>
      <c r="D312" s="36">
        <f t="shared" si="45"/>
        <v>0.30020000000000002</v>
      </c>
      <c r="E312" s="36">
        <f t="shared" si="45"/>
        <v>0.41277499999999995</v>
      </c>
      <c r="F312" s="36">
        <f t="shared" si="45"/>
        <v>0.51152500000000001</v>
      </c>
      <c r="G312" s="36">
        <f t="shared" si="45"/>
        <v>0.65175000000000005</v>
      </c>
      <c r="H312" s="36">
        <f t="shared" si="45"/>
        <v>0.95984999999999998</v>
      </c>
      <c r="I312" s="36">
        <f t="shared" si="45"/>
        <v>1.31535</v>
      </c>
      <c r="J312" s="36">
        <f t="shared" si="45"/>
        <v>1.7261500000000001</v>
      </c>
      <c r="K312" s="36">
        <f t="shared" si="45"/>
        <v>2.2238500000000001</v>
      </c>
      <c r="L312" s="36">
        <f t="shared" si="45"/>
        <v>2.7887</v>
      </c>
      <c r="M312" s="36">
        <f t="shared" si="45"/>
        <v>3.4147750000000001</v>
      </c>
      <c r="N312" s="36">
        <f t="shared" si="45"/>
        <v>4.1139250000000001</v>
      </c>
      <c r="O312" s="36">
        <f t="shared" si="45"/>
        <v>4.8683750000000003</v>
      </c>
      <c r="P312" s="36">
        <f t="shared" si="45"/>
        <v>5.6998500000000005</v>
      </c>
      <c r="Q312" s="36">
        <f t="shared" si="45"/>
        <v>6.5728</v>
      </c>
      <c r="R312" s="36">
        <f t="shared" si="45"/>
        <v>7.4970999999999997</v>
      </c>
      <c r="S312" s="36">
        <f t="shared" si="45"/>
        <v>9.602450000000001</v>
      </c>
      <c r="T312" s="36">
        <f t="shared" si="44"/>
        <v>11.964550000000001</v>
      </c>
      <c r="U312" s="36">
        <f t="shared" si="44"/>
        <v>14.53205</v>
      </c>
      <c r="V312" s="36">
        <f t="shared" si="44"/>
        <v>17.40765</v>
      </c>
      <c r="W312" s="36">
        <f t="shared" si="44"/>
        <v>20.796749999999999</v>
      </c>
      <c r="X312" s="36">
        <f t="shared" si="44"/>
        <v>24.237200000000001</v>
      </c>
      <c r="Y312" s="36">
        <f t="shared" si="44"/>
        <v>27.215499999999999</v>
      </c>
      <c r="Z312" s="36">
        <f t="shared" si="44"/>
        <v>31.262274999999999</v>
      </c>
    </row>
    <row r="313" spans="1:26" x14ac:dyDescent="0.55000000000000004">
      <c r="A313" s="83"/>
      <c r="B313" s="83"/>
      <c r="C313" s="15">
        <v>20</v>
      </c>
      <c r="D313" s="36">
        <f t="shared" si="45"/>
        <v>0.30399999999999999</v>
      </c>
      <c r="E313" s="36">
        <f t="shared" si="45"/>
        <v>0.41799999999999998</v>
      </c>
      <c r="F313" s="36">
        <f t="shared" si="45"/>
        <v>0.51800000000000002</v>
      </c>
      <c r="G313" s="36">
        <f t="shared" si="45"/>
        <v>0.66</v>
      </c>
      <c r="H313" s="36">
        <f t="shared" si="45"/>
        <v>0.97199999999999998</v>
      </c>
      <c r="I313" s="36">
        <f t="shared" si="45"/>
        <v>1.3320000000000001</v>
      </c>
      <c r="J313" s="36">
        <f t="shared" si="45"/>
        <v>1.7480000000000002</v>
      </c>
      <c r="K313" s="36">
        <f t="shared" si="45"/>
        <v>2.2520000000000002</v>
      </c>
      <c r="L313" s="36">
        <f t="shared" si="45"/>
        <v>2.8239999999999998</v>
      </c>
      <c r="M313" s="36">
        <f t="shared" si="45"/>
        <v>3.4580000000000002</v>
      </c>
      <c r="N313" s="36">
        <f t="shared" si="45"/>
        <v>4.1660000000000004</v>
      </c>
      <c r="O313" s="36">
        <f t="shared" si="45"/>
        <v>4.93</v>
      </c>
      <c r="P313" s="36">
        <f t="shared" si="45"/>
        <v>5.7720000000000002</v>
      </c>
      <c r="Q313" s="36">
        <f t="shared" si="45"/>
        <v>6.6559999999999997</v>
      </c>
      <c r="R313" s="36">
        <f t="shared" si="45"/>
        <v>7.5919999999999996</v>
      </c>
      <c r="S313" s="36">
        <f t="shared" si="45"/>
        <v>9.7240000000000002</v>
      </c>
      <c r="T313" s="36">
        <f t="shared" si="44"/>
        <v>12.116</v>
      </c>
      <c r="U313" s="36">
        <f t="shared" si="44"/>
        <v>14.716000000000001</v>
      </c>
      <c r="V313" s="36">
        <f t="shared" si="44"/>
        <v>17.628</v>
      </c>
      <c r="W313" s="36">
        <f t="shared" si="44"/>
        <v>21.06</v>
      </c>
      <c r="X313" s="36">
        <f t="shared" si="44"/>
        <v>24.544</v>
      </c>
      <c r="Y313" s="36">
        <f t="shared" si="44"/>
        <v>27.56</v>
      </c>
      <c r="Z313" s="36">
        <f t="shared" si="44"/>
        <v>31.658000000000001</v>
      </c>
    </row>
    <row r="1048576" spans="4:26" x14ac:dyDescent="0.55000000000000004">
      <c r="D1048576"/>
      <c r="E1048576"/>
      <c r="F1048576"/>
      <c r="G1048576"/>
      <c r="H1048576"/>
      <c r="I1048576"/>
      <c r="J1048576"/>
      <c r="K1048576"/>
      <c r="L1048576"/>
      <c r="M1048576"/>
      <c r="N1048576"/>
      <c r="O1048576"/>
      <c r="P1048576"/>
      <c r="Q1048576"/>
      <c r="R1048576"/>
      <c r="S1048576"/>
      <c r="T1048576"/>
      <c r="U1048576"/>
      <c r="V1048576"/>
      <c r="W1048576"/>
      <c r="X1048576"/>
      <c r="Y1048576"/>
      <c r="Z1048576"/>
    </row>
  </sheetData>
  <mergeCells count="8">
    <mergeCell ref="A241:A313"/>
    <mergeCell ref="B241:B313"/>
    <mergeCell ref="A8:A80"/>
    <mergeCell ref="B8:B80"/>
    <mergeCell ref="A86:A158"/>
    <mergeCell ref="B86:B158"/>
    <mergeCell ref="A164:A236"/>
    <mergeCell ref="B164:B236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I97"/>
  <sheetViews>
    <sheetView topLeftCell="W1" workbookViewId="0">
      <selection activeCell="Z24" sqref="Z24"/>
    </sheetView>
  </sheetViews>
  <sheetFormatPr baseColWidth="10" defaultRowHeight="14.4" x14ac:dyDescent="0.55000000000000004"/>
  <cols>
    <col min="1" max="1" width="5.15625" bestFit="1" customWidth="1"/>
    <col min="2" max="2" width="10.578125" bestFit="1" customWidth="1"/>
    <col min="3" max="3" width="8" bestFit="1" customWidth="1"/>
    <col min="4" max="4" width="10" customWidth="1"/>
    <col min="5" max="5" width="12.20703125" customWidth="1"/>
    <col min="6" max="7" width="10" customWidth="1"/>
    <col min="8" max="8" width="3.41796875" customWidth="1"/>
    <col min="9" max="9" width="5.1015625" customWidth="1"/>
    <col min="10" max="11" width="12.41796875" customWidth="1"/>
    <col min="12" max="12" width="8.47265625" bestFit="1" customWidth="1"/>
    <col min="13" max="13" width="11.89453125" bestFit="1" customWidth="1"/>
    <col min="14" max="15" width="8.47265625" customWidth="1"/>
    <col min="16" max="16" width="2.9453125" customWidth="1"/>
    <col min="17" max="17" width="6.15625" style="1" bestFit="1" customWidth="1"/>
    <col min="18" max="18" width="10.578125" style="1" bestFit="1" customWidth="1"/>
    <col min="19" max="19" width="8" style="1" bestFit="1" customWidth="1"/>
    <col min="20" max="20" width="9.41796875" style="1" bestFit="1" customWidth="1"/>
    <col min="21" max="21" width="11.89453125" style="1" bestFit="1" customWidth="1"/>
    <col min="22" max="23" width="9.41796875" style="1" customWidth="1"/>
    <col min="24" max="24" width="3.5234375" customWidth="1"/>
    <col min="25" max="25" width="6.26171875" bestFit="1" customWidth="1"/>
    <col min="26" max="26" width="10.578125" bestFit="1" customWidth="1"/>
    <col min="27" max="27" width="8" bestFit="1" customWidth="1"/>
    <col min="28" max="28" width="9.41796875" bestFit="1" customWidth="1"/>
    <col min="29" max="29" width="11.89453125" bestFit="1" customWidth="1"/>
    <col min="30" max="31" width="9.41796875" customWidth="1"/>
  </cols>
  <sheetData>
    <row r="1" spans="1:35" x14ac:dyDescent="0.55000000000000004">
      <c r="A1" s="84" t="s">
        <v>437</v>
      </c>
      <c r="B1" s="84"/>
      <c r="C1" s="84"/>
      <c r="D1" s="84"/>
      <c r="E1" s="84"/>
      <c r="F1" s="84"/>
      <c r="G1" s="84"/>
      <c r="H1" s="37"/>
      <c r="I1" s="84" t="s">
        <v>438</v>
      </c>
      <c r="J1" s="84"/>
      <c r="K1" s="84"/>
      <c r="L1" s="84"/>
      <c r="M1" s="84"/>
      <c r="N1" s="84"/>
      <c r="O1" s="84"/>
      <c r="Q1" s="84" t="s">
        <v>439</v>
      </c>
      <c r="R1" s="84"/>
      <c r="S1" s="84"/>
      <c r="T1" s="84"/>
      <c r="U1" s="84"/>
      <c r="V1" s="84"/>
      <c r="W1" s="84"/>
      <c r="Y1" s="88" t="s">
        <v>440</v>
      </c>
      <c r="Z1" s="89"/>
      <c r="AA1" s="89"/>
      <c r="AB1" s="89"/>
      <c r="AC1" s="89"/>
      <c r="AD1" s="89"/>
      <c r="AE1" s="89"/>
      <c r="AG1" s="84" t="s">
        <v>443</v>
      </c>
      <c r="AH1" s="84"/>
      <c r="AI1" s="84"/>
    </row>
    <row r="2" spans="1:35" x14ac:dyDescent="0.55000000000000004">
      <c r="A2" s="84" t="s">
        <v>107</v>
      </c>
      <c r="B2" s="84" t="s">
        <v>441</v>
      </c>
      <c r="C2" s="84" t="s">
        <v>385</v>
      </c>
      <c r="D2" s="84" t="s">
        <v>442</v>
      </c>
      <c r="E2" s="85" t="s">
        <v>448</v>
      </c>
      <c r="F2" s="86"/>
      <c r="G2" s="87"/>
      <c r="H2" s="37"/>
      <c r="I2" s="84" t="s">
        <v>107</v>
      </c>
      <c r="J2" s="84" t="s">
        <v>441</v>
      </c>
      <c r="K2" s="84" t="s">
        <v>385</v>
      </c>
      <c r="L2" s="84" t="s">
        <v>442</v>
      </c>
      <c r="M2" s="85" t="s">
        <v>448</v>
      </c>
      <c r="N2" s="86"/>
      <c r="O2" s="87"/>
      <c r="Q2" s="84" t="s">
        <v>107</v>
      </c>
      <c r="R2" s="84" t="s">
        <v>441</v>
      </c>
      <c r="S2" s="84" t="s">
        <v>385</v>
      </c>
      <c r="T2" s="84" t="s">
        <v>442</v>
      </c>
      <c r="U2" s="85" t="s">
        <v>448</v>
      </c>
      <c r="V2" s="86"/>
      <c r="W2" s="87"/>
      <c r="Y2" s="84" t="s">
        <v>107</v>
      </c>
      <c r="Z2" s="84" t="s">
        <v>441</v>
      </c>
      <c r="AA2" s="84" t="s">
        <v>385</v>
      </c>
      <c r="AB2" s="84" t="s">
        <v>442</v>
      </c>
      <c r="AC2" s="85" t="s">
        <v>448</v>
      </c>
      <c r="AD2" s="86"/>
      <c r="AE2" s="87"/>
      <c r="AG2" s="84"/>
      <c r="AH2" s="84"/>
      <c r="AI2" s="84"/>
    </row>
    <row r="3" spans="1:35" x14ac:dyDescent="0.55000000000000004">
      <c r="A3" s="84"/>
      <c r="B3" s="84"/>
      <c r="C3" s="84"/>
      <c r="D3" s="84"/>
      <c r="E3" s="14" t="s">
        <v>449</v>
      </c>
      <c r="F3" s="14" t="s">
        <v>385</v>
      </c>
      <c r="G3" s="44" t="s">
        <v>448</v>
      </c>
      <c r="H3" s="37"/>
      <c r="I3" s="84"/>
      <c r="J3" s="84"/>
      <c r="K3" s="84"/>
      <c r="L3" s="84"/>
      <c r="M3" s="14" t="s">
        <v>449</v>
      </c>
      <c r="N3" s="14" t="s">
        <v>385</v>
      </c>
      <c r="O3" s="44" t="s">
        <v>448</v>
      </c>
      <c r="Q3" s="84"/>
      <c r="R3" s="84"/>
      <c r="S3" s="84"/>
      <c r="T3" s="84"/>
      <c r="U3" s="14" t="s">
        <v>449</v>
      </c>
      <c r="V3" s="14" t="s">
        <v>385</v>
      </c>
      <c r="W3" s="44" t="s">
        <v>448</v>
      </c>
      <c r="Y3" s="84"/>
      <c r="Z3" s="84"/>
      <c r="AA3" s="84"/>
      <c r="AB3" s="84"/>
      <c r="AC3" s="14" t="s">
        <v>449</v>
      </c>
      <c r="AD3" s="14" t="s">
        <v>385</v>
      </c>
      <c r="AE3" s="44" t="s">
        <v>448</v>
      </c>
      <c r="AG3" s="34"/>
      <c r="AH3" s="15" t="s">
        <v>447</v>
      </c>
      <c r="AI3" s="15" t="s">
        <v>384</v>
      </c>
    </row>
    <row r="4" spans="1:35" x14ac:dyDescent="0.55000000000000004">
      <c r="A4" s="36" t="s">
        <v>208</v>
      </c>
      <c r="B4" s="36">
        <v>40.49</v>
      </c>
      <c r="C4" s="36">
        <v>11.2</v>
      </c>
      <c r="D4" s="36">
        <v>0.02</v>
      </c>
      <c r="E4" s="36">
        <f>IF(B4&lt;=$AH$4,$AH$4,IF(B4&lt;=$AH$5,$AH$5,IF(B4&lt;=$AH$6,$AH$6,IF(B4&lt;=$AH$7,$AH$7,IF(B4&lt;=$AH$8,$AH$8,IF(B4&lt;=$AH$9,$AH$9,IF(B4&lt;=$AH$10,$AH$10,IF(B4&lt;=$AH$11,$AH$11,IF(B4&lt;=$AH$12,$AH$12,IF(B4&lt;=$AH$13,$AH$13,IF(B4&lt;=$AH$14,$AH$14,"")))))))))))</f>
        <v>85</v>
      </c>
      <c r="F4" s="36">
        <f>IF(B4&lt;=$AH$4,$AI$4,IF(B4&lt;=$AH$5,$AI$5,IF(B4&lt;=$AH$6,$AI$6,IF(B4&lt;=$AH$7,$AI$7,IF(B4&lt;=$AH$8,$AI$8,IF(B4&lt;=$AH$9,$AI$9,IF(B4&lt;=$AH$10,$AI$10,IF(B4&lt;=$AH$11,$AI$11,IF(B4&lt;=$AH$12,$AI$12,IF(B4&lt;=$AH$13,$AI$13,IF(B4&lt;=$AH$14,$AI$14,"")))))))))))</f>
        <v>30</v>
      </c>
      <c r="G4" s="36" t="str">
        <f>IF(B4&lt;=$AH$4,$AG$4,IF(B4&lt;=$AH$5,$AG$5,IF(B4&lt;=$AH$6,$AG$6,IF(B4&lt;=$AH$7,$AG$7,IF(B4&lt;=$AH$8,$AG$8,IF(B4&lt;=$AH$9,$AG$9,IF(B4&lt;=$AH$10,$AG$10,IF(B4&lt;=$AH$11,$AG$11,IF(B4&lt;=$AH$12,$AG$12,IF(B4&lt;=$AH$13,$AG$13,IF(B4&lt;=$AH$14,$AG$14,"")))))))))))</f>
        <v>Caja 1</v>
      </c>
      <c r="H4" s="38"/>
      <c r="I4" s="36" t="s">
        <v>208</v>
      </c>
      <c r="J4" s="36">
        <v>40.49</v>
      </c>
      <c r="K4" s="36">
        <v>11.2</v>
      </c>
      <c r="L4" s="36">
        <v>0.02</v>
      </c>
      <c r="M4" s="36">
        <f>IF(J4&lt;=$AH$4,$AH$4,IF(J4&lt;=$AH$5,$AH$5,IF(J4&lt;=$AH$6,$AH$6,IF(J4&lt;=$AH$7,$AH$7,IF(J4&lt;=$AH$8,$AH$8,IF(J4&lt;=$AH$9,$AH$9,IF(J4&lt;=$AH$10,$AH$10,IF(J4&lt;=$AH$11,$AH$11,IF(J4&lt;=$AH$12,$AH$12,IF(J4&lt;=$AH$13,$AH$13,IF(J4&lt;=$AH$14,$AH$14,"")))))))))))</f>
        <v>85</v>
      </c>
      <c r="N4" s="36">
        <f>IF(J4&lt;=$AH$4,$AI$4,IF(J4&lt;=$AH$5,$AI$5,IF(J4&lt;=$AH$6,$AI$6,IF(J4&lt;=$AH$7,$AI$7,IF(J4&lt;=$AH$8,$AI$8,IF(J4&lt;=$AH$9,$AI$9,IF(J4&lt;=$AH$10,$AI$10,IF(J4&lt;=$AH$11,$AI$11,IF(J4&lt;=$AH$12,$AI$12,IF(J4&lt;=$AH$13,$AI$13,IF(J4&lt;=$AH$14,$AI$14,"")))))))))))</f>
        <v>30</v>
      </c>
      <c r="O4" s="36" t="str">
        <f>IF(J4&lt;=$AH$4,$AG$4,IF(J4&lt;=$AH$5,$AG$5,IF(J4&lt;=$AH$6,$AG$6,IF(J4&lt;=$AH$7,$AG$7,IF(J4&lt;=$AH$8,$AG$8,IF(J4&lt;=$AH$9,$AG$9,IF(J4&lt;=$AH$10,$AG$10,IF(J4&lt;=$AH$11,$AG$11,IF(J4&lt;=$AH$12,$AG$12,IF(J4&lt;=$AH$13,$AG$13,IF(J4&lt;=$AH$14,$AG$14,"")))))))))))</f>
        <v>Caja 1</v>
      </c>
      <c r="Q4" s="15" t="s">
        <v>302</v>
      </c>
      <c r="R4" s="15">
        <v>76.2</v>
      </c>
      <c r="S4" s="15">
        <v>19.05</v>
      </c>
      <c r="T4" s="15">
        <v>0.24</v>
      </c>
      <c r="U4" s="36">
        <f>IF(R4&lt;=$AH$4,$AH$4,IF(R4&lt;=$AH$5,$AH$5,IF(R4&lt;=$AH$6,$AH$6,IF(R4&lt;=$AH$7,$AH$7,IF(R4&lt;=$AH$8,$AH$8,IF(R4&lt;=$AH$9,$AH$9,IF(R4&lt;=$AH$10,$AH$10,IF(R4&lt;=$AH$11,$AH$11,IF(R4&lt;=$AH$12,$AH$12,IF(R4&lt;=$AH$13,$AH$13,IF(R4&lt;=$AH$14,$AH$14,"")))))))))))</f>
        <v>85</v>
      </c>
      <c r="V4" s="36">
        <f>IF(R4&lt;=$AH$4,$AI$4,IF(R4&lt;=$AH$5,$AI$5,IF(R4&lt;=$AH$6,$AI$6,IF(R4&lt;=$AH$7,$AI$7,IF(R4&lt;=$AH$8,$AI$8,IF(R4&lt;=$AH$9,$AI$9,IF(R4&lt;=$AH$10,$AI$10,IF(R4&lt;=$AH$11,$AI$11,IF(R4&lt;=$AH$12,$AI$12,IF(R4&lt;=$AH$13,$AI$13,IF(R4&lt;=$AH$14,$AI$14,"")))))))))))</f>
        <v>30</v>
      </c>
      <c r="W4" s="36" t="str">
        <f>IF(R4&lt;=$AH$4,$AG$4,IF(R4&lt;=$AH$5,$AG$5,IF(R4&lt;=$AH$6,$AG$6,IF(R4&lt;=$AH$7,$AG$7,IF(R4&lt;=$AH$8,$AG$8,IF(R4&lt;=$AH$9,$AG$9,IF(R4&lt;=$AH$10,$AG$10,IF(R4&lt;=$AH$11,$AG$11,IF(R4&lt;=$AH$12,$AG$12,IF(R4&lt;=$AH$13,$AG$13,IF(R4&lt;=$AH$14,$AG$14,"")))))))))))</f>
        <v>Caja 1</v>
      </c>
      <c r="Y4" s="15" t="s">
        <v>345</v>
      </c>
      <c r="Z4" s="15">
        <v>72.19</v>
      </c>
      <c r="AA4" s="15">
        <v>9.3000000000000007</v>
      </c>
      <c r="AB4" s="15">
        <v>0.14000000000000001</v>
      </c>
      <c r="AC4" s="36">
        <f>IF(Z4&lt;=$AH$4,$AH$4,IF(Z4&lt;=$AH$5,$AH$5,IF(Z4&lt;=$AH$6,$AH$6,IF(Z4&lt;=$AH$7,$AH$7,IF(Z4&lt;=$AH$8,$AH$8,IF(Z4&lt;=$AH$9,$AH$9,IF(Z4&lt;=$AH$10,$AH$10,IF(Z4&lt;=$AH$11,$AH$11,IF(Z4&lt;=$AH$12,$AH$12,IF(Z4&lt;=$AH$13,$AH$13,IF(Z4&lt;=$AH$14,$AH$14,"")))))))))))</f>
        <v>85</v>
      </c>
      <c r="AD4" s="36">
        <f>IF(Z4&lt;=$AH$4,$AI$4,IF(Z4&lt;=$AH$5,$AI$5,IF(Z4&lt;=$AH$6,$AI$6,IF(Z4&lt;=$AH$7,$AI$7,IF(Z4&lt;=$AH$8,$AI$8,IF(Z4&lt;=$AH$9,$AI$9,IF(Z4&lt;=$AH$10,$AI$10,IF(Z4&lt;=$AH$11,$AI$11,IF(Z4&lt;=$AH$12,$AI$12,IF(Z4&lt;=$AH$13,$AI$13,IF(Z4&lt;=$AH$14,$AI$14,"")))))))))))</f>
        <v>30</v>
      </c>
      <c r="AE4" s="36" t="str">
        <f>IF(Z4&lt;=$AH$4,$AG$4,IF(Z4&lt;=$AH$5,$AG$5,IF(Z4&lt;=$AH$6,$AG$6,IF(Z4&lt;=$AH$7,$AG$7,IF(Z4&lt;=$AH$8,$AG$8,IF(Z4&lt;=$AH$9,$AG$9,IF(Z4&lt;=$AH$10,$AG$10,IF(Z4&lt;=$AH$11,$AG$11,IF(Z4&lt;=$AH$12,$AG$12,IF(Z4&lt;=$AH$13,$AG$13,IF(Z4&lt;=$AH$14,$AG$14,"")))))))))))</f>
        <v>Caja 1</v>
      </c>
      <c r="AG4" s="34" t="s">
        <v>388</v>
      </c>
      <c r="AH4" s="41">
        <v>85</v>
      </c>
      <c r="AI4" s="42">
        <v>30</v>
      </c>
    </row>
    <row r="5" spans="1:35" x14ac:dyDescent="0.55000000000000004">
      <c r="A5" s="36" t="s">
        <v>209</v>
      </c>
      <c r="B5" s="36">
        <v>47.650000000000006</v>
      </c>
      <c r="C5" s="36">
        <v>14.2</v>
      </c>
      <c r="D5" s="36">
        <v>0.03</v>
      </c>
      <c r="E5" s="36">
        <f t="shared" ref="E5:E68" si="0">IF(B5&lt;=$AH$4,$AH$4,IF(B5&lt;=$AH$5,$AH$5,IF(B5&lt;=$AH$6,$AH$6,IF(B5&lt;=$AH$7,$AH$7,IF(B5&lt;=$AH$8,$AH$8,IF(B5&lt;=$AH$9,$AH$9,IF(B5&lt;=$AH$10,$AH$10,IF(B5&lt;=$AH$11,$AH$11,IF(B5&lt;=$AH$12,$AH$12,IF(B5&lt;=$AH$13,$AH$13,IF(B5&lt;=$AH$14,$AH$14,"")))))))))))</f>
        <v>85</v>
      </c>
      <c r="F5" s="36">
        <f t="shared" ref="F5:F68" si="1">IF(B5&lt;=$AH$4,$AI$4,IF(B5&lt;=$AH$5,$AI$5,IF(B5&lt;=$AH$6,$AI$6,IF(B5&lt;=$AH$7,$AI$7,IF(B5&lt;=$AH$8,$AI$8,IF(B5&lt;=$AH$9,$AI$9,IF(B5&lt;=$AH$10,$AI$10,IF(B5&lt;=$AH$11,$AI$11,IF(B5&lt;=$AH$12,$AI$12,IF(B5&lt;=$AH$13,$AI$13,IF(B5&lt;=$AH$14,$AI$14,"")))))))))))</f>
        <v>30</v>
      </c>
      <c r="G5" s="36" t="str">
        <f t="shared" ref="G5:G68" si="2">IF(B5&lt;=$AH$4,$AG$4,IF(B5&lt;=$AH$5,$AG$5,IF(B5&lt;=$AH$6,$AG$6,IF(B5&lt;=$AH$7,$AG$7,IF(B5&lt;=$AH$8,$AG$8,IF(B5&lt;=$AH$9,$AG$9,IF(B5&lt;=$AH$10,$AG$10,IF(B5&lt;=$AH$11,$AG$11,IF(B5&lt;=$AH$12,$AG$12,IF(B5&lt;=$AH$13,$AG$13,IF(B5&lt;=$AH$14,$AG$14,"")))))))))))</f>
        <v>Caja 1</v>
      </c>
      <c r="H5" s="38"/>
      <c r="I5" s="36" t="s">
        <v>209</v>
      </c>
      <c r="J5" s="36">
        <v>47.650000000000006</v>
      </c>
      <c r="K5" s="36">
        <v>14.2</v>
      </c>
      <c r="L5" s="36">
        <v>0.03</v>
      </c>
      <c r="M5" s="36">
        <f t="shared" ref="M5:M68" si="3">IF(J5&lt;=$AH$4,$AH$4,IF(J5&lt;=$AH$5,$AH$5,IF(J5&lt;=$AH$6,$AH$6,IF(J5&lt;=$AH$7,$AH$7,IF(J5&lt;=$AH$8,$AH$8,IF(J5&lt;=$AH$9,$AH$9,IF(J5&lt;=$AH$10,$AH$10,IF(J5&lt;=$AH$11,$AH$11,IF(J5&lt;=$AH$12,$AH$12,IF(J5&lt;=$AH$13,$AH$13,IF(J5&lt;=$AH$14,$AH$14,"")))))))))))</f>
        <v>85</v>
      </c>
      <c r="N5" s="36">
        <f t="shared" ref="N5:N68" si="4">IF(J5&lt;=$AH$4,$AI$4,IF(J5&lt;=$AH$5,$AI$5,IF(J5&lt;=$AH$6,$AI$6,IF(J5&lt;=$AH$7,$AI$7,IF(J5&lt;=$AH$8,$AI$8,IF(J5&lt;=$AH$9,$AI$9,IF(J5&lt;=$AH$10,$AI$10,IF(J5&lt;=$AH$11,$AI$11,IF(J5&lt;=$AH$12,$AI$12,IF(J5&lt;=$AH$13,$AI$13,IF(J5&lt;=$AH$14,$AI$14,"")))))))))))</f>
        <v>30</v>
      </c>
      <c r="O5" s="36" t="str">
        <f t="shared" ref="O5:O68" si="5">IF(J5&lt;=$AH$4,$AG$4,IF(J5&lt;=$AH$5,$AG$5,IF(J5&lt;=$AH$6,$AG$6,IF(J5&lt;=$AH$7,$AG$7,IF(J5&lt;=$AH$8,$AG$8,IF(J5&lt;=$AH$9,$AG$9,IF(J5&lt;=$AH$10,$AG$10,IF(J5&lt;=$AH$11,$AG$11,IF(J5&lt;=$AH$12,$AG$12,IF(J5&lt;=$AH$13,$AG$13,IF(J5&lt;=$AH$14,$AG$14,"")))))))))))</f>
        <v>Caja 1</v>
      </c>
      <c r="Q5" s="15" t="s">
        <v>303</v>
      </c>
      <c r="R5" s="15">
        <v>93.27</v>
      </c>
      <c r="S5" s="15">
        <v>25.04</v>
      </c>
      <c r="T5" s="15">
        <v>0.52</v>
      </c>
      <c r="U5" s="36">
        <f t="shared" ref="U5:U44" si="6">IF(R5&lt;=$AH$4,$AH$4,IF(R5&lt;=$AH$5,$AH$5,IF(R5&lt;=$AH$6,$AH$6,IF(R5&lt;=$AH$7,$AH$7,IF(R5&lt;=$AH$8,$AH$8,IF(R5&lt;=$AH$9,$AH$9,IF(R5&lt;=$AH$10,$AH$10,IF(R5&lt;=$AH$11,$AH$11,IF(R5&lt;=$AH$12,$AH$12,IF(R5&lt;=$AH$13,$AH$13,IF(R5&lt;=$AH$14,$AH$14,"")))))))))))</f>
        <v>125</v>
      </c>
      <c r="V5" s="36">
        <f t="shared" ref="V5:V44" si="7">IF(R5&lt;=$AH$4,$AI$4,IF(R5&lt;=$AH$5,$AI$5,IF(R5&lt;=$AH$6,$AI$6,IF(R5&lt;=$AH$7,$AI$7,IF(R5&lt;=$AH$8,$AI$8,IF(R5&lt;=$AH$9,$AI$9,IF(R5&lt;=$AH$10,$AI$10,IF(R5&lt;=$AH$11,$AI$11,IF(R5&lt;=$AH$12,$AI$12,IF(R5&lt;=$AH$13,$AI$13,IF(R5&lt;=$AH$14,$AI$14,"")))))))))))</f>
        <v>30</v>
      </c>
      <c r="W5" s="36" t="str">
        <f t="shared" ref="W5:W44" si="8">IF(R5&lt;=$AH$4,$AG$4,IF(R5&lt;=$AH$5,$AG$5,IF(R5&lt;=$AH$6,$AG$6,IF(R5&lt;=$AH$7,$AG$7,IF(R5&lt;=$AH$8,$AG$8,IF(R5&lt;=$AH$9,$AG$9,IF(R5&lt;=$AH$10,$AG$10,IF(R5&lt;=$AH$11,$AG$11,IF(R5&lt;=$AH$12,$AG$12,IF(R5&lt;=$AH$13,$AG$13,IF(R5&lt;=$AH$14,$AG$14,"")))))))))))</f>
        <v>Caja 2</v>
      </c>
      <c r="Y5" s="15" t="s">
        <v>346</v>
      </c>
      <c r="Z5" s="15">
        <v>76.400000000000006</v>
      </c>
      <c r="AA5" s="15">
        <v>9.6300000000000008</v>
      </c>
      <c r="AB5" s="15">
        <v>0.16</v>
      </c>
      <c r="AC5" s="36">
        <f t="shared" ref="AC5:AC27" si="9">IF(Z5&lt;=$AH$4,$AH$4,IF(Z5&lt;=$AH$5,$AH$5,IF(Z5&lt;=$AH$6,$AH$6,IF(Z5&lt;=$AH$7,$AH$7,IF(Z5&lt;=$AH$8,$AH$8,IF(Z5&lt;=$AH$9,$AH$9,IF(Z5&lt;=$AH$10,$AH$10,IF(Z5&lt;=$AH$11,$AH$11,IF(Z5&lt;=$AH$12,$AH$12,IF(Z5&lt;=$AH$13,$AH$13,IF(Z5&lt;=$AH$14,$AH$14,"")))))))))))</f>
        <v>85</v>
      </c>
      <c r="AD5" s="36">
        <f t="shared" ref="AD5:AD27" si="10">IF(Z5&lt;=$AH$4,$AI$4,IF(Z5&lt;=$AH$5,$AI$5,IF(Z5&lt;=$AH$6,$AI$6,IF(Z5&lt;=$AH$7,$AI$7,IF(Z5&lt;=$AH$8,$AI$8,IF(Z5&lt;=$AH$9,$AI$9,IF(Z5&lt;=$AH$10,$AI$10,IF(Z5&lt;=$AH$11,$AI$11,IF(Z5&lt;=$AH$12,$AI$12,IF(Z5&lt;=$AH$13,$AI$13,IF(Z5&lt;=$AH$14,$AI$14,"")))))))))))</f>
        <v>30</v>
      </c>
      <c r="AE5" s="36" t="str">
        <f t="shared" ref="AE5:AE27" si="11">IF(Z5&lt;=$AH$4,$AG$4,IF(Z5&lt;=$AH$5,$AG$5,IF(Z5&lt;=$AH$6,$AG$6,IF(Z5&lt;=$AH$7,$AG$7,IF(Z5&lt;=$AH$8,$AG$8,IF(Z5&lt;=$AH$9,$AG$9,IF(Z5&lt;=$AH$10,$AG$10,IF(Z5&lt;=$AH$11,$AG$11,IF(Z5&lt;=$AH$12,$AG$12,IF(Z5&lt;=$AH$13,$AG$13,IF(Z5&lt;=$AH$14,$AG$14,"")))))))))))</f>
        <v>Caja 1</v>
      </c>
      <c r="AG5" s="34" t="s">
        <v>389</v>
      </c>
      <c r="AH5" s="41">
        <v>125</v>
      </c>
      <c r="AI5" s="42">
        <v>30</v>
      </c>
    </row>
    <row r="6" spans="1:35" x14ac:dyDescent="0.55000000000000004">
      <c r="A6" s="36" t="s">
        <v>210</v>
      </c>
      <c r="B6" s="36">
        <v>50.830000000000005</v>
      </c>
      <c r="C6" s="36">
        <v>14.2</v>
      </c>
      <c r="D6" s="36">
        <v>0.04</v>
      </c>
      <c r="E6" s="36">
        <f t="shared" si="0"/>
        <v>85</v>
      </c>
      <c r="F6" s="36">
        <f t="shared" si="1"/>
        <v>30</v>
      </c>
      <c r="G6" s="36" t="str">
        <f t="shared" si="2"/>
        <v>Caja 1</v>
      </c>
      <c r="H6" s="38"/>
      <c r="I6" s="36" t="s">
        <v>210</v>
      </c>
      <c r="J6" s="36">
        <v>50.830000000000005</v>
      </c>
      <c r="K6" s="36">
        <v>14.2</v>
      </c>
      <c r="L6" s="36">
        <v>0.04</v>
      </c>
      <c r="M6" s="36">
        <f t="shared" si="3"/>
        <v>85</v>
      </c>
      <c r="N6" s="36">
        <f t="shared" si="4"/>
        <v>30</v>
      </c>
      <c r="O6" s="36" t="str">
        <f t="shared" si="5"/>
        <v>Caja 1</v>
      </c>
      <c r="Q6" s="15" t="s">
        <v>304</v>
      </c>
      <c r="R6" s="15">
        <v>105.97</v>
      </c>
      <c r="S6" s="15">
        <v>25.04</v>
      </c>
      <c r="T6" s="15">
        <v>0.6</v>
      </c>
      <c r="U6" s="36">
        <f t="shared" si="6"/>
        <v>125</v>
      </c>
      <c r="V6" s="36">
        <f t="shared" si="7"/>
        <v>30</v>
      </c>
      <c r="W6" s="36" t="str">
        <f t="shared" si="8"/>
        <v>Caja 2</v>
      </c>
      <c r="Y6" s="15" t="s">
        <v>347</v>
      </c>
      <c r="Z6" s="15">
        <v>84.68</v>
      </c>
      <c r="AA6" s="15">
        <v>10.24</v>
      </c>
      <c r="AB6" s="15">
        <v>0.2</v>
      </c>
      <c r="AC6" s="36">
        <f t="shared" si="9"/>
        <v>85</v>
      </c>
      <c r="AD6" s="36">
        <f t="shared" si="10"/>
        <v>30</v>
      </c>
      <c r="AE6" s="36" t="str">
        <f t="shared" si="11"/>
        <v>Caja 1</v>
      </c>
      <c r="AG6" s="34" t="s">
        <v>390</v>
      </c>
      <c r="AH6" s="41">
        <v>156</v>
      </c>
      <c r="AI6" s="42">
        <v>30</v>
      </c>
    </row>
    <row r="7" spans="1:35" x14ac:dyDescent="0.55000000000000004">
      <c r="A7" s="36" t="s">
        <v>211</v>
      </c>
      <c r="B7" s="36">
        <v>88.9</v>
      </c>
      <c r="C7" s="36">
        <v>14.2</v>
      </c>
      <c r="D7" s="36">
        <v>0.04</v>
      </c>
      <c r="E7" s="36">
        <f t="shared" si="0"/>
        <v>125</v>
      </c>
      <c r="F7" s="36">
        <f t="shared" si="1"/>
        <v>30</v>
      </c>
      <c r="G7" s="36" t="str">
        <f t="shared" si="2"/>
        <v>Caja 2</v>
      </c>
      <c r="H7" s="38"/>
      <c r="I7" s="36" t="s">
        <v>211</v>
      </c>
      <c r="J7" s="36">
        <v>88.9</v>
      </c>
      <c r="K7" s="36">
        <v>14.2</v>
      </c>
      <c r="L7" s="36">
        <v>0.04</v>
      </c>
      <c r="M7" s="36">
        <f t="shared" si="3"/>
        <v>125</v>
      </c>
      <c r="N7" s="36">
        <f t="shared" si="4"/>
        <v>30</v>
      </c>
      <c r="O7" s="36" t="str">
        <f t="shared" si="5"/>
        <v>Caja 2</v>
      </c>
      <c r="Q7" s="15" t="s">
        <v>305</v>
      </c>
      <c r="R7" s="15">
        <v>109.55</v>
      </c>
      <c r="S7" s="15">
        <v>19.05</v>
      </c>
      <c r="T7" s="15">
        <v>0.4</v>
      </c>
      <c r="U7" s="36">
        <f t="shared" si="6"/>
        <v>125</v>
      </c>
      <c r="V7" s="36">
        <f t="shared" si="7"/>
        <v>30</v>
      </c>
      <c r="W7" s="36" t="str">
        <f t="shared" si="8"/>
        <v>Caja 2</v>
      </c>
      <c r="Y7" s="15" t="s">
        <v>348</v>
      </c>
      <c r="Z7" s="15">
        <v>100.94</v>
      </c>
      <c r="AA7" s="15">
        <v>11.38</v>
      </c>
      <c r="AB7" s="15">
        <v>0.3</v>
      </c>
      <c r="AC7" s="36">
        <f t="shared" si="9"/>
        <v>125</v>
      </c>
      <c r="AD7" s="36">
        <f t="shared" si="10"/>
        <v>30</v>
      </c>
      <c r="AE7" s="36" t="str">
        <f t="shared" si="11"/>
        <v>Caja 2</v>
      </c>
      <c r="AG7" s="34" t="s">
        <v>391</v>
      </c>
      <c r="AH7" s="41">
        <v>178</v>
      </c>
      <c r="AI7" s="42">
        <v>30</v>
      </c>
    </row>
    <row r="8" spans="1:35" x14ac:dyDescent="0.55000000000000004">
      <c r="A8" s="36" t="s">
        <v>212</v>
      </c>
      <c r="B8" s="36">
        <v>55.580000000000005</v>
      </c>
      <c r="C8" s="36">
        <v>14.2</v>
      </c>
      <c r="D8" s="36">
        <v>0.05</v>
      </c>
      <c r="E8" s="36">
        <f t="shared" si="0"/>
        <v>85</v>
      </c>
      <c r="F8" s="36">
        <f t="shared" si="1"/>
        <v>30</v>
      </c>
      <c r="G8" s="36" t="str">
        <f t="shared" si="2"/>
        <v>Caja 1</v>
      </c>
      <c r="H8" s="38"/>
      <c r="I8" s="36" t="s">
        <v>212</v>
      </c>
      <c r="J8" s="36">
        <v>55.580000000000005</v>
      </c>
      <c r="K8" s="36">
        <v>14.2</v>
      </c>
      <c r="L8" s="36">
        <v>0.05</v>
      </c>
      <c r="M8" s="36">
        <f t="shared" si="3"/>
        <v>85</v>
      </c>
      <c r="N8" s="36">
        <f t="shared" si="4"/>
        <v>30</v>
      </c>
      <c r="O8" s="36" t="str">
        <f t="shared" si="5"/>
        <v>Caja 1</v>
      </c>
      <c r="Q8" s="15" t="s">
        <v>306</v>
      </c>
      <c r="R8" s="15">
        <v>111.91</v>
      </c>
      <c r="S8" s="15">
        <v>25.4</v>
      </c>
      <c r="T8" s="15">
        <v>0.64</v>
      </c>
      <c r="U8" s="36">
        <f t="shared" si="6"/>
        <v>125</v>
      </c>
      <c r="V8" s="36">
        <f t="shared" si="7"/>
        <v>30</v>
      </c>
      <c r="W8" s="36" t="str">
        <f t="shared" si="8"/>
        <v>Caja 2</v>
      </c>
      <c r="Y8" s="15" t="s">
        <v>349</v>
      </c>
      <c r="Z8" s="15">
        <v>116.84</v>
      </c>
      <c r="AA8" s="15">
        <v>12.4</v>
      </c>
      <c r="AB8" s="15">
        <v>0.41</v>
      </c>
      <c r="AC8" s="36">
        <f t="shared" si="9"/>
        <v>125</v>
      </c>
      <c r="AD8" s="36">
        <f t="shared" si="10"/>
        <v>30</v>
      </c>
      <c r="AE8" s="36" t="str">
        <f t="shared" si="11"/>
        <v>Caja 2</v>
      </c>
      <c r="AG8" s="34" t="s">
        <v>392</v>
      </c>
      <c r="AH8" s="41">
        <v>240</v>
      </c>
      <c r="AI8" s="42">
        <v>30</v>
      </c>
    </row>
    <row r="9" spans="1:35" x14ac:dyDescent="0.55000000000000004">
      <c r="A9" s="36" t="s">
        <v>213</v>
      </c>
      <c r="B9" s="36">
        <v>58.75</v>
      </c>
      <c r="C9" s="36">
        <v>14.2</v>
      </c>
      <c r="D9" s="36">
        <v>0.06</v>
      </c>
      <c r="E9" s="36">
        <f t="shared" si="0"/>
        <v>85</v>
      </c>
      <c r="F9" s="36">
        <f t="shared" si="1"/>
        <v>30</v>
      </c>
      <c r="G9" s="36" t="str">
        <f t="shared" si="2"/>
        <v>Caja 1</v>
      </c>
      <c r="H9" s="38"/>
      <c r="I9" s="36" t="s">
        <v>213</v>
      </c>
      <c r="J9" s="36">
        <v>58.75</v>
      </c>
      <c r="K9" s="36">
        <v>14.2</v>
      </c>
      <c r="L9" s="36">
        <v>0.06</v>
      </c>
      <c r="M9" s="36">
        <f t="shared" si="3"/>
        <v>85</v>
      </c>
      <c r="N9" s="36">
        <f t="shared" si="4"/>
        <v>30</v>
      </c>
      <c r="O9" s="36" t="str">
        <f t="shared" si="5"/>
        <v>Caja 1</v>
      </c>
      <c r="Q9" s="15" t="s">
        <v>307</v>
      </c>
      <c r="R9" s="15">
        <v>118.28</v>
      </c>
      <c r="S9" s="15">
        <v>25.4</v>
      </c>
      <c r="T9" s="15">
        <v>0.68</v>
      </c>
      <c r="U9" s="36">
        <f t="shared" si="6"/>
        <v>125</v>
      </c>
      <c r="V9" s="36">
        <f t="shared" si="7"/>
        <v>30</v>
      </c>
      <c r="W9" s="36" t="str">
        <f t="shared" si="8"/>
        <v>Caja 2</v>
      </c>
      <c r="Y9" s="15" t="s">
        <v>350</v>
      </c>
      <c r="Z9" s="15">
        <v>147.96</v>
      </c>
      <c r="AA9" s="15">
        <v>14.22</v>
      </c>
      <c r="AB9" s="15">
        <v>0.69</v>
      </c>
      <c r="AC9" s="36">
        <f t="shared" si="9"/>
        <v>156</v>
      </c>
      <c r="AD9" s="36">
        <f t="shared" si="10"/>
        <v>30</v>
      </c>
      <c r="AE9" s="36" t="str">
        <f t="shared" si="11"/>
        <v>Caja 3</v>
      </c>
      <c r="AG9" s="34" t="s">
        <v>393</v>
      </c>
      <c r="AH9" s="43">
        <v>255</v>
      </c>
      <c r="AI9" s="42">
        <v>30</v>
      </c>
    </row>
    <row r="10" spans="1:35" x14ac:dyDescent="0.55000000000000004">
      <c r="A10" s="36" t="s">
        <v>214</v>
      </c>
      <c r="B10" s="36">
        <v>65.099999999999994</v>
      </c>
      <c r="C10" s="36">
        <v>14.2</v>
      </c>
      <c r="D10" s="36">
        <v>7.0000000000000007E-2</v>
      </c>
      <c r="E10" s="36">
        <f t="shared" si="0"/>
        <v>85</v>
      </c>
      <c r="F10" s="36">
        <f t="shared" si="1"/>
        <v>30</v>
      </c>
      <c r="G10" s="36" t="str">
        <f t="shared" si="2"/>
        <v>Caja 1</v>
      </c>
      <c r="H10" s="38"/>
      <c r="I10" s="36" t="s">
        <v>214</v>
      </c>
      <c r="J10" s="36">
        <v>65.099999999999994</v>
      </c>
      <c r="K10" s="36">
        <v>14.2</v>
      </c>
      <c r="L10" s="36">
        <v>7.0000000000000007E-2</v>
      </c>
      <c r="M10" s="36">
        <f t="shared" si="3"/>
        <v>85</v>
      </c>
      <c r="N10" s="36">
        <f t="shared" si="4"/>
        <v>30</v>
      </c>
      <c r="O10" s="36" t="str">
        <f t="shared" si="5"/>
        <v>Caja 1</v>
      </c>
      <c r="Q10" s="15" t="s">
        <v>308</v>
      </c>
      <c r="R10" s="15">
        <v>134.54</v>
      </c>
      <c r="S10" s="15">
        <v>25.4</v>
      </c>
      <c r="T10" s="15">
        <v>0.82</v>
      </c>
      <c r="U10" s="36">
        <f t="shared" si="6"/>
        <v>156</v>
      </c>
      <c r="V10" s="36">
        <f t="shared" si="7"/>
        <v>30</v>
      </c>
      <c r="W10" s="36" t="str">
        <f t="shared" si="8"/>
        <v>Caja 3</v>
      </c>
      <c r="Y10" s="15" t="s">
        <v>351</v>
      </c>
      <c r="Z10" s="15">
        <v>237.92</v>
      </c>
      <c r="AA10" s="15">
        <v>18.62</v>
      </c>
      <c r="AB10" s="15">
        <v>1.94</v>
      </c>
      <c r="AC10" s="36">
        <f t="shared" si="9"/>
        <v>240</v>
      </c>
      <c r="AD10" s="36">
        <f t="shared" si="10"/>
        <v>30</v>
      </c>
      <c r="AE10" s="36" t="str">
        <f t="shared" si="11"/>
        <v>Caja 5</v>
      </c>
      <c r="AG10" s="34" t="s">
        <v>394</v>
      </c>
      <c r="AH10" s="41">
        <v>435</v>
      </c>
      <c r="AI10" s="42">
        <v>40</v>
      </c>
    </row>
    <row r="11" spans="1:35" x14ac:dyDescent="0.55000000000000004">
      <c r="A11" s="36" t="s">
        <v>215</v>
      </c>
      <c r="B11" s="36">
        <v>68.28</v>
      </c>
      <c r="C11" s="36">
        <v>14.2</v>
      </c>
      <c r="D11" s="36">
        <v>0.08</v>
      </c>
      <c r="E11" s="36">
        <f t="shared" si="0"/>
        <v>85</v>
      </c>
      <c r="F11" s="36">
        <f t="shared" si="1"/>
        <v>30</v>
      </c>
      <c r="G11" s="36" t="str">
        <f t="shared" si="2"/>
        <v>Caja 1</v>
      </c>
      <c r="H11" s="38"/>
      <c r="I11" s="36" t="s">
        <v>215</v>
      </c>
      <c r="J11" s="36">
        <v>68.28</v>
      </c>
      <c r="K11" s="36">
        <v>14.2</v>
      </c>
      <c r="L11" s="36">
        <v>0.08</v>
      </c>
      <c r="M11" s="36">
        <f t="shared" si="3"/>
        <v>85</v>
      </c>
      <c r="N11" s="36">
        <f t="shared" si="4"/>
        <v>30</v>
      </c>
      <c r="O11" s="36" t="str">
        <f t="shared" si="5"/>
        <v>Caja 1</v>
      </c>
      <c r="Q11" s="15" t="s">
        <v>309</v>
      </c>
      <c r="R11" s="15">
        <v>147.24</v>
      </c>
      <c r="S11" s="15">
        <v>25.4</v>
      </c>
      <c r="T11" s="15">
        <v>0.91</v>
      </c>
      <c r="U11" s="36">
        <f t="shared" si="6"/>
        <v>156</v>
      </c>
      <c r="V11" s="36">
        <f t="shared" si="7"/>
        <v>30</v>
      </c>
      <c r="W11" s="36" t="str">
        <f t="shared" si="8"/>
        <v>Caja 3</v>
      </c>
      <c r="Y11" s="15" t="s">
        <v>352</v>
      </c>
      <c r="Z11" s="15">
        <v>294.45999999999998</v>
      </c>
      <c r="AA11" s="15">
        <v>20.98</v>
      </c>
      <c r="AB11" s="15">
        <v>3.06</v>
      </c>
      <c r="AC11" s="36">
        <f t="shared" si="9"/>
        <v>435</v>
      </c>
      <c r="AD11" s="36">
        <f t="shared" si="10"/>
        <v>40</v>
      </c>
      <c r="AE11" s="36" t="str">
        <f t="shared" si="11"/>
        <v>Caja 7</v>
      </c>
      <c r="AG11" s="34" t="s">
        <v>395</v>
      </c>
      <c r="AH11" s="41">
        <v>510</v>
      </c>
      <c r="AI11" s="42">
        <v>40</v>
      </c>
    </row>
    <row r="12" spans="1:35" x14ac:dyDescent="0.55000000000000004">
      <c r="A12" s="36" t="s">
        <v>216</v>
      </c>
      <c r="B12" s="36">
        <v>73.05</v>
      </c>
      <c r="C12" s="36">
        <v>14.2</v>
      </c>
      <c r="D12" s="36">
        <v>0.1</v>
      </c>
      <c r="E12" s="36">
        <f t="shared" si="0"/>
        <v>85</v>
      </c>
      <c r="F12" s="36">
        <f t="shared" si="1"/>
        <v>30</v>
      </c>
      <c r="G12" s="36" t="str">
        <f t="shared" si="2"/>
        <v>Caja 1</v>
      </c>
      <c r="H12" s="38"/>
      <c r="I12" s="36" t="s">
        <v>216</v>
      </c>
      <c r="J12" s="36">
        <v>73.05</v>
      </c>
      <c r="K12" s="36">
        <v>14.2</v>
      </c>
      <c r="L12" s="36">
        <v>0.1</v>
      </c>
      <c r="M12" s="36">
        <f t="shared" si="3"/>
        <v>85</v>
      </c>
      <c r="N12" s="36">
        <f t="shared" si="4"/>
        <v>30</v>
      </c>
      <c r="O12" s="36" t="str">
        <f t="shared" si="5"/>
        <v>Caja 1</v>
      </c>
      <c r="Q12" s="15" t="s">
        <v>310</v>
      </c>
      <c r="R12" s="15">
        <v>159.94</v>
      </c>
      <c r="S12" s="15">
        <v>25.4</v>
      </c>
      <c r="T12" s="15">
        <v>1</v>
      </c>
      <c r="U12" s="36">
        <f t="shared" si="6"/>
        <v>178</v>
      </c>
      <c r="V12" s="36">
        <f t="shared" si="7"/>
        <v>30</v>
      </c>
      <c r="W12" s="36" t="str">
        <f t="shared" si="8"/>
        <v>Caja 4</v>
      </c>
      <c r="Y12" s="15" t="s">
        <v>353</v>
      </c>
      <c r="Z12" s="15">
        <v>352.04</v>
      </c>
      <c r="AA12" s="15">
        <v>23.14</v>
      </c>
      <c r="AB12" s="15">
        <v>4.46</v>
      </c>
      <c r="AC12" s="36">
        <f t="shared" si="9"/>
        <v>435</v>
      </c>
      <c r="AD12" s="36">
        <f t="shared" si="10"/>
        <v>40</v>
      </c>
      <c r="AE12" s="36" t="str">
        <f t="shared" si="11"/>
        <v>Caja 7</v>
      </c>
      <c r="AG12" s="34" t="s">
        <v>444</v>
      </c>
      <c r="AH12" s="41">
        <v>640</v>
      </c>
      <c r="AI12" s="42">
        <v>40</v>
      </c>
    </row>
    <row r="13" spans="1:35" x14ac:dyDescent="0.55000000000000004">
      <c r="A13" s="36" t="s">
        <v>217</v>
      </c>
      <c r="B13" s="36">
        <v>76.23</v>
      </c>
      <c r="C13" s="36">
        <v>14.2</v>
      </c>
      <c r="D13" s="36">
        <v>0.11</v>
      </c>
      <c r="E13" s="36">
        <f t="shared" si="0"/>
        <v>85</v>
      </c>
      <c r="F13" s="36">
        <f t="shared" si="1"/>
        <v>30</v>
      </c>
      <c r="G13" s="36" t="str">
        <f t="shared" si="2"/>
        <v>Caja 1</v>
      </c>
      <c r="H13" s="38"/>
      <c r="I13" s="36" t="s">
        <v>217</v>
      </c>
      <c r="J13" s="36">
        <v>76.23</v>
      </c>
      <c r="K13" s="36">
        <v>14.2</v>
      </c>
      <c r="L13" s="36">
        <v>0.11</v>
      </c>
      <c r="M13" s="36">
        <f t="shared" si="3"/>
        <v>85</v>
      </c>
      <c r="N13" s="36">
        <f t="shared" si="4"/>
        <v>30</v>
      </c>
      <c r="O13" s="36" t="str">
        <f t="shared" si="5"/>
        <v>Caja 1</v>
      </c>
      <c r="Q13" s="15" t="s">
        <v>311</v>
      </c>
      <c r="R13" s="15">
        <v>172.64</v>
      </c>
      <c r="S13" s="15">
        <v>25.4</v>
      </c>
      <c r="T13" s="15">
        <v>1.1000000000000001</v>
      </c>
      <c r="U13" s="36">
        <f t="shared" si="6"/>
        <v>178</v>
      </c>
      <c r="V13" s="36">
        <f t="shared" si="7"/>
        <v>30</v>
      </c>
      <c r="W13" s="36" t="str">
        <f t="shared" si="8"/>
        <v>Caja 4</v>
      </c>
      <c r="Y13" s="15" t="s">
        <v>354</v>
      </c>
      <c r="Z13" s="15">
        <v>426.72</v>
      </c>
      <c r="AA13" s="15">
        <v>25.7</v>
      </c>
      <c r="AB13" s="15">
        <v>6.69</v>
      </c>
      <c r="AC13" s="36">
        <f t="shared" si="9"/>
        <v>435</v>
      </c>
      <c r="AD13" s="36">
        <f t="shared" si="10"/>
        <v>40</v>
      </c>
      <c r="AE13" s="36" t="str">
        <f t="shared" si="11"/>
        <v>Caja 7</v>
      </c>
      <c r="AG13" s="34" t="s">
        <v>445</v>
      </c>
      <c r="AH13" s="41">
        <v>1000</v>
      </c>
      <c r="AI13" s="42">
        <v>40</v>
      </c>
    </row>
    <row r="14" spans="1:35" x14ac:dyDescent="0.55000000000000004">
      <c r="A14" s="36" t="s">
        <v>218</v>
      </c>
      <c r="B14" s="36">
        <v>83.36999999999999</v>
      </c>
      <c r="C14" s="36">
        <v>17.5</v>
      </c>
      <c r="D14" s="36">
        <v>0.12</v>
      </c>
      <c r="E14" s="36">
        <f t="shared" si="0"/>
        <v>85</v>
      </c>
      <c r="F14" s="36">
        <f t="shared" si="1"/>
        <v>30</v>
      </c>
      <c r="G14" s="36" t="str">
        <f t="shared" si="2"/>
        <v>Caja 1</v>
      </c>
      <c r="H14" s="38"/>
      <c r="I14" s="36" t="s">
        <v>218</v>
      </c>
      <c r="J14" s="36">
        <v>83.36999999999999</v>
      </c>
      <c r="K14" s="36">
        <v>17.5</v>
      </c>
      <c r="L14" s="36">
        <v>0.12</v>
      </c>
      <c r="M14" s="36">
        <f t="shared" si="3"/>
        <v>85</v>
      </c>
      <c r="N14" s="36">
        <f t="shared" si="4"/>
        <v>30</v>
      </c>
      <c r="O14" s="36" t="str">
        <f t="shared" si="5"/>
        <v>Caja 1</v>
      </c>
      <c r="Q14" s="15" t="s">
        <v>312</v>
      </c>
      <c r="R14" s="15">
        <v>191.69</v>
      </c>
      <c r="S14" s="15">
        <v>25.4</v>
      </c>
      <c r="T14" s="15">
        <v>1.24</v>
      </c>
      <c r="U14" s="36">
        <f t="shared" si="6"/>
        <v>240</v>
      </c>
      <c r="V14" s="36">
        <f t="shared" si="7"/>
        <v>30</v>
      </c>
      <c r="W14" s="36" t="str">
        <f t="shared" si="8"/>
        <v>Caja 5</v>
      </c>
      <c r="Y14" s="15" t="s">
        <v>355</v>
      </c>
      <c r="Z14" s="15">
        <v>402.59</v>
      </c>
      <c r="AA14" s="15">
        <v>23.83</v>
      </c>
      <c r="AB14" s="15">
        <v>3.17</v>
      </c>
      <c r="AC14" s="36">
        <f t="shared" si="9"/>
        <v>435</v>
      </c>
      <c r="AD14" s="36">
        <f t="shared" si="10"/>
        <v>40</v>
      </c>
      <c r="AE14" s="36" t="str">
        <f t="shared" si="11"/>
        <v>Caja 7</v>
      </c>
      <c r="AG14" s="34" t="s">
        <v>446</v>
      </c>
      <c r="AH14" s="40">
        <v>1200</v>
      </c>
      <c r="AI14" s="33">
        <v>50</v>
      </c>
    </row>
    <row r="15" spans="1:35" x14ac:dyDescent="0.55000000000000004">
      <c r="A15" s="36" t="s">
        <v>219</v>
      </c>
      <c r="B15" s="36">
        <v>90.5</v>
      </c>
      <c r="C15" s="36">
        <v>14.2</v>
      </c>
      <c r="D15" s="36">
        <v>0.16</v>
      </c>
      <c r="E15" s="36">
        <f t="shared" si="0"/>
        <v>125</v>
      </c>
      <c r="F15" s="36">
        <f t="shared" si="1"/>
        <v>30</v>
      </c>
      <c r="G15" s="36" t="str">
        <f t="shared" si="2"/>
        <v>Caja 2</v>
      </c>
      <c r="H15" s="38"/>
      <c r="I15" s="36" t="s">
        <v>219</v>
      </c>
      <c r="J15" s="36">
        <v>90.5</v>
      </c>
      <c r="K15" s="36">
        <v>14.2</v>
      </c>
      <c r="L15" s="36">
        <v>0.16</v>
      </c>
      <c r="M15" s="36">
        <f t="shared" si="3"/>
        <v>125</v>
      </c>
      <c r="N15" s="36">
        <f t="shared" si="4"/>
        <v>30</v>
      </c>
      <c r="O15" s="36" t="str">
        <f t="shared" si="5"/>
        <v>Caja 2</v>
      </c>
      <c r="Q15" s="15" t="s">
        <v>313</v>
      </c>
      <c r="R15" s="15">
        <v>204.39</v>
      </c>
      <c r="S15" s="15">
        <v>25.4</v>
      </c>
      <c r="T15" s="15">
        <v>1.33</v>
      </c>
      <c r="U15" s="36">
        <f t="shared" si="6"/>
        <v>240</v>
      </c>
      <c r="V15" s="36">
        <f t="shared" si="7"/>
        <v>30</v>
      </c>
      <c r="W15" s="36" t="str">
        <f t="shared" si="8"/>
        <v>Caja 5</v>
      </c>
      <c r="Y15" s="15" t="s">
        <v>356</v>
      </c>
      <c r="Z15" s="15">
        <v>491.41</v>
      </c>
      <c r="AA15" s="15">
        <v>28.07</v>
      </c>
      <c r="AB15" s="15">
        <v>5.38</v>
      </c>
      <c r="AC15" s="36">
        <f t="shared" si="9"/>
        <v>510</v>
      </c>
      <c r="AD15" s="36">
        <f t="shared" si="10"/>
        <v>40</v>
      </c>
      <c r="AE15" s="36" t="str">
        <f t="shared" si="11"/>
        <v>Caja 8</v>
      </c>
    </row>
    <row r="16" spans="1:35" x14ac:dyDescent="0.55000000000000004">
      <c r="A16" s="36" t="s">
        <v>220</v>
      </c>
      <c r="B16" s="36">
        <v>93.679999999999993</v>
      </c>
      <c r="C16" s="36">
        <v>17.5</v>
      </c>
      <c r="D16" s="36">
        <v>0.16</v>
      </c>
      <c r="E16" s="36">
        <f t="shared" si="0"/>
        <v>125</v>
      </c>
      <c r="F16" s="36">
        <f t="shared" si="1"/>
        <v>30</v>
      </c>
      <c r="G16" s="36" t="str">
        <f t="shared" si="2"/>
        <v>Caja 2</v>
      </c>
      <c r="H16" s="38"/>
      <c r="I16" s="36" t="s">
        <v>220</v>
      </c>
      <c r="J16" s="36">
        <v>93.679999999999993</v>
      </c>
      <c r="K16" s="36">
        <v>17.5</v>
      </c>
      <c r="L16" s="36">
        <v>0.16</v>
      </c>
      <c r="M16" s="36">
        <f t="shared" si="3"/>
        <v>125</v>
      </c>
      <c r="N16" s="36">
        <f t="shared" si="4"/>
        <v>30</v>
      </c>
      <c r="O16" s="36" t="str">
        <f t="shared" si="5"/>
        <v>Caja 2</v>
      </c>
      <c r="Q16" s="15" t="s">
        <v>314</v>
      </c>
      <c r="R16" s="15">
        <v>221.84</v>
      </c>
      <c r="S16" s="15">
        <v>25.4</v>
      </c>
      <c r="T16" s="15">
        <v>1.46</v>
      </c>
      <c r="U16" s="36">
        <f t="shared" si="6"/>
        <v>240</v>
      </c>
      <c r="V16" s="36">
        <f t="shared" si="7"/>
        <v>30</v>
      </c>
      <c r="W16" s="36" t="str">
        <f t="shared" si="8"/>
        <v>Caja 5</v>
      </c>
      <c r="Y16" s="15" t="s">
        <v>357</v>
      </c>
      <c r="Z16" s="15">
        <v>475.49</v>
      </c>
      <c r="AA16" s="15">
        <v>14.22</v>
      </c>
      <c r="AB16" s="15">
        <v>2.31</v>
      </c>
      <c r="AC16" s="36">
        <f t="shared" si="9"/>
        <v>510</v>
      </c>
      <c r="AD16" s="36">
        <f t="shared" si="10"/>
        <v>40</v>
      </c>
      <c r="AE16" s="36" t="str">
        <f t="shared" si="11"/>
        <v>Caja 8</v>
      </c>
    </row>
    <row r="17" spans="1:31" x14ac:dyDescent="0.55000000000000004">
      <c r="A17" s="36" t="s">
        <v>221</v>
      </c>
      <c r="B17" s="36">
        <v>106.38</v>
      </c>
      <c r="C17" s="36">
        <v>17.5</v>
      </c>
      <c r="D17" s="36">
        <v>0.22</v>
      </c>
      <c r="E17" s="36">
        <f t="shared" si="0"/>
        <v>125</v>
      </c>
      <c r="F17" s="36">
        <f t="shared" si="1"/>
        <v>30</v>
      </c>
      <c r="G17" s="36" t="str">
        <f t="shared" si="2"/>
        <v>Caja 2</v>
      </c>
      <c r="H17" s="38"/>
      <c r="I17" s="36" t="s">
        <v>221</v>
      </c>
      <c r="J17" s="36">
        <v>106.38</v>
      </c>
      <c r="K17" s="36">
        <v>17.5</v>
      </c>
      <c r="L17" s="36">
        <v>0.22</v>
      </c>
      <c r="M17" s="36">
        <f t="shared" si="3"/>
        <v>125</v>
      </c>
      <c r="N17" s="36">
        <f t="shared" si="4"/>
        <v>30</v>
      </c>
      <c r="O17" s="36" t="str">
        <f t="shared" si="5"/>
        <v>Caja 2</v>
      </c>
      <c r="Q17" s="15" t="s">
        <v>315</v>
      </c>
      <c r="R17" s="15">
        <v>222.25</v>
      </c>
      <c r="S17" s="15">
        <v>28.58</v>
      </c>
      <c r="T17" s="15">
        <v>1.84</v>
      </c>
      <c r="U17" s="36">
        <f t="shared" si="6"/>
        <v>240</v>
      </c>
      <c r="V17" s="36">
        <f t="shared" si="7"/>
        <v>30</v>
      </c>
      <c r="W17" s="36" t="str">
        <f t="shared" si="8"/>
        <v>Caja 5</v>
      </c>
      <c r="Y17" s="15" t="s">
        <v>358</v>
      </c>
      <c r="Z17" s="15">
        <v>556.16</v>
      </c>
      <c r="AA17" s="15">
        <v>30.1</v>
      </c>
      <c r="AB17" s="15">
        <v>7.01</v>
      </c>
      <c r="AC17" s="36">
        <f t="shared" si="9"/>
        <v>640</v>
      </c>
      <c r="AD17" s="36">
        <f t="shared" si="10"/>
        <v>40</v>
      </c>
      <c r="AE17" s="36" t="str">
        <f t="shared" si="11"/>
        <v>Caja 9</v>
      </c>
    </row>
    <row r="18" spans="1:31" x14ac:dyDescent="0.55000000000000004">
      <c r="A18" s="36" t="s">
        <v>222</v>
      </c>
      <c r="B18" s="36">
        <v>109.55</v>
      </c>
      <c r="C18" s="36">
        <v>14.2</v>
      </c>
      <c r="D18" s="36">
        <v>0.25</v>
      </c>
      <c r="E18" s="36">
        <f t="shared" si="0"/>
        <v>125</v>
      </c>
      <c r="F18" s="36">
        <f t="shared" si="1"/>
        <v>30</v>
      </c>
      <c r="G18" s="36" t="str">
        <f t="shared" si="2"/>
        <v>Caja 2</v>
      </c>
      <c r="H18" s="38"/>
      <c r="I18" s="36" t="s">
        <v>222</v>
      </c>
      <c r="J18" s="36">
        <v>109.55</v>
      </c>
      <c r="K18" s="36">
        <v>14.2</v>
      </c>
      <c r="L18" s="36">
        <v>0.25</v>
      </c>
      <c r="M18" s="36">
        <f t="shared" si="3"/>
        <v>125</v>
      </c>
      <c r="N18" s="36">
        <f t="shared" si="4"/>
        <v>30</v>
      </c>
      <c r="O18" s="36" t="str">
        <f t="shared" si="5"/>
        <v>Caja 2</v>
      </c>
      <c r="Q18" s="15" t="s">
        <v>316</v>
      </c>
      <c r="R18" s="15">
        <v>245.26</v>
      </c>
      <c r="S18" s="15">
        <v>41.28</v>
      </c>
      <c r="T18" s="15">
        <v>4.12</v>
      </c>
      <c r="U18" s="36">
        <f t="shared" si="6"/>
        <v>255</v>
      </c>
      <c r="V18" s="36">
        <f t="shared" si="7"/>
        <v>30</v>
      </c>
      <c r="W18" s="36" t="str">
        <f t="shared" si="8"/>
        <v>Caja 6</v>
      </c>
      <c r="Y18" s="15" t="s">
        <v>359</v>
      </c>
      <c r="Z18" s="15">
        <v>570.55999999999995</v>
      </c>
      <c r="AA18" s="15">
        <v>30.1</v>
      </c>
      <c r="AB18" s="15">
        <v>10.11</v>
      </c>
      <c r="AC18" s="36">
        <f t="shared" si="9"/>
        <v>640</v>
      </c>
      <c r="AD18" s="36">
        <f t="shared" si="10"/>
        <v>40</v>
      </c>
      <c r="AE18" s="36" t="str">
        <f t="shared" si="11"/>
        <v>Caja 9</v>
      </c>
    </row>
    <row r="19" spans="1:31" x14ac:dyDescent="0.55000000000000004">
      <c r="A19" s="36" t="s">
        <v>223</v>
      </c>
      <c r="B19" s="36">
        <v>112.72999999999999</v>
      </c>
      <c r="C19" s="36">
        <v>17.5</v>
      </c>
      <c r="D19" s="36">
        <v>0.25</v>
      </c>
      <c r="E19" s="36">
        <f t="shared" si="0"/>
        <v>125</v>
      </c>
      <c r="F19" s="36">
        <f t="shared" si="1"/>
        <v>30</v>
      </c>
      <c r="G19" s="36" t="str">
        <f t="shared" si="2"/>
        <v>Caja 2</v>
      </c>
      <c r="H19" s="38"/>
      <c r="I19" s="36" t="s">
        <v>223</v>
      </c>
      <c r="J19" s="36">
        <v>112.72999999999999</v>
      </c>
      <c r="K19" s="36">
        <v>17.5</v>
      </c>
      <c r="L19" s="36">
        <v>0.25</v>
      </c>
      <c r="M19" s="36">
        <f t="shared" si="3"/>
        <v>125</v>
      </c>
      <c r="N19" s="36">
        <f t="shared" si="4"/>
        <v>30</v>
      </c>
      <c r="O19" s="36" t="str">
        <f t="shared" si="5"/>
        <v>Caja 2</v>
      </c>
      <c r="Q19" s="15" t="s">
        <v>317</v>
      </c>
      <c r="R19" s="15">
        <v>280.58999999999997</v>
      </c>
      <c r="S19" s="15">
        <v>25.4</v>
      </c>
      <c r="T19" s="15">
        <v>1.9</v>
      </c>
      <c r="U19" s="36">
        <f t="shared" si="6"/>
        <v>435</v>
      </c>
      <c r="V19" s="36">
        <f t="shared" si="7"/>
        <v>40</v>
      </c>
      <c r="W19" s="36" t="str">
        <f t="shared" si="8"/>
        <v>Caja 7</v>
      </c>
      <c r="Y19" s="15" t="s">
        <v>360</v>
      </c>
      <c r="Z19" s="15">
        <v>624.71</v>
      </c>
      <c r="AA19" s="15">
        <v>32.03</v>
      </c>
      <c r="AB19" s="15">
        <v>8.92</v>
      </c>
      <c r="AC19" s="36">
        <f t="shared" si="9"/>
        <v>640</v>
      </c>
      <c r="AD19" s="36">
        <f t="shared" si="10"/>
        <v>40</v>
      </c>
      <c r="AE19" s="36" t="str">
        <f t="shared" si="11"/>
        <v>Caja 9</v>
      </c>
    </row>
    <row r="20" spans="1:31" x14ac:dyDescent="0.55000000000000004">
      <c r="A20" s="36" t="s">
        <v>224</v>
      </c>
      <c r="B20" s="36">
        <v>119.08</v>
      </c>
      <c r="C20" s="36">
        <v>17.5</v>
      </c>
      <c r="D20" s="36">
        <v>0.28000000000000003</v>
      </c>
      <c r="E20" s="36">
        <f t="shared" si="0"/>
        <v>125</v>
      </c>
      <c r="F20" s="36">
        <f t="shared" si="1"/>
        <v>30</v>
      </c>
      <c r="G20" s="36" t="str">
        <f t="shared" si="2"/>
        <v>Caja 2</v>
      </c>
      <c r="H20" s="38"/>
      <c r="I20" s="36" t="s">
        <v>224</v>
      </c>
      <c r="J20" s="36">
        <v>119.08</v>
      </c>
      <c r="K20" s="36">
        <v>17.5</v>
      </c>
      <c r="L20" s="36">
        <v>0.28000000000000003</v>
      </c>
      <c r="M20" s="36">
        <f t="shared" si="3"/>
        <v>125</v>
      </c>
      <c r="N20" s="36">
        <f t="shared" si="4"/>
        <v>30</v>
      </c>
      <c r="O20" s="36" t="str">
        <f t="shared" si="5"/>
        <v>Caja 2</v>
      </c>
      <c r="Q20" s="15" t="s">
        <v>318</v>
      </c>
      <c r="R20" s="15">
        <v>283.36</v>
      </c>
      <c r="S20" s="15">
        <v>31.75</v>
      </c>
      <c r="T20" s="15">
        <v>3.23</v>
      </c>
      <c r="U20" s="36">
        <f t="shared" si="6"/>
        <v>435</v>
      </c>
      <c r="V20" s="36">
        <f t="shared" si="7"/>
        <v>40</v>
      </c>
      <c r="W20" s="36" t="str">
        <f t="shared" si="8"/>
        <v>Caja 7</v>
      </c>
      <c r="Y20" s="15" t="s">
        <v>361</v>
      </c>
      <c r="Z20" s="15">
        <v>640.03</v>
      </c>
      <c r="AA20" s="15">
        <v>32.03</v>
      </c>
      <c r="AB20" s="15">
        <v>12.85</v>
      </c>
      <c r="AC20" s="36">
        <f t="shared" si="9"/>
        <v>1000</v>
      </c>
      <c r="AD20" s="36">
        <f t="shared" si="10"/>
        <v>40</v>
      </c>
      <c r="AE20" s="36" t="str">
        <f t="shared" si="11"/>
        <v>Caja 10</v>
      </c>
    </row>
    <row r="21" spans="1:31" x14ac:dyDescent="0.55000000000000004">
      <c r="A21" s="36" t="s">
        <v>225</v>
      </c>
      <c r="B21" s="36">
        <v>111.13</v>
      </c>
      <c r="C21" s="36">
        <v>19.100000000000001</v>
      </c>
      <c r="D21" s="36">
        <v>0.3</v>
      </c>
      <c r="E21" s="36">
        <f t="shared" si="0"/>
        <v>125</v>
      </c>
      <c r="F21" s="36">
        <f t="shared" si="1"/>
        <v>30</v>
      </c>
      <c r="G21" s="36" t="str">
        <f t="shared" si="2"/>
        <v>Caja 2</v>
      </c>
      <c r="H21" s="38"/>
      <c r="I21" s="36" t="s">
        <v>225</v>
      </c>
      <c r="J21" s="36">
        <v>113.13</v>
      </c>
      <c r="K21" s="36">
        <v>19.100000000000001</v>
      </c>
      <c r="L21" s="36">
        <v>0.3</v>
      </c>
      <c r="M21" s="36">
        <f t="shared" si="3"/>
        <v>125</v>
      </c>
      <c r="N21" s="36">
        <f t="shared" si="4"/>
        <v>30</v>
      </c>
      <c r="O21" s="36" t="str">
        <f t="shared" si="5"/>
        <v>Caja 2</v>
      </c>
      <c r="Q21" s="15" t="s">
        <v>319</v>
      </c>
      <c r="R21" s="15">
        <v>334.57</v>
      </c>
      <c r="S21" s="15">
        <v>25.4</v>
      </c>
      <c r="T21" s="15">
        <v>2.2999999999999998</v>
      </c>
      <c r="U21" s="36">
        <f t="shared" si="6"/>
        <v>435</v>
      </c>
      <c r="V21" s="36">
        <f t="shared" si="7"/>
        <v>40</v>
      </c>
      <c r="W21" s="36" t="str">
        <f t="shared" si="8"/>
        <v>Caja 7</v>
      </c>
      <c r="Y21" s="15" t="s">
        <v>362</v>
      </c>
      <c r="Z21" s="15">
        <v>759.36</v>
      </c>
      <c r="AA21" s="15">
        <v>35.86</v>
      </c>
      <c r="AB21" s="15">
        <v>8.66</v>
      </c>
      <c r="AC21" s="36">
        <f t="shared" si="9"/>
        <v>1000</v>
      </c>
      <c r="AD21" s="36">
        <f t="shared" si="10"/>
        <v>40</v>
      </c>
      <c r="AE21" s="36" t="str">
        <f t="shared" si="11"/>
        <v>Caja 10</v>
      </c>
    </row>
    <row r="22" spans="1:31" x14ac:dyDescent="0.55000000000000004">
      <c r="A22" s="36" t="s">
        <v>226</v>
      </c>
      <c r="B22" s="36">
        <v>122.25</v>
      </c>
      <c r="C22" s="36">
        <v>14.2</v>
      </c>
      <c r="D22" s="36">
        <v>0.31</v>
      </c>
      <c r="E22" s="36">
        <f t="shared" si="0"/>
        <v>125</v>
      </c>
      <c r="F22" s="36">
        <f t="shared" si="1"/>
        <v>30</v>
      </c>
      <c r="G22" s="36" t="str">
        <f t="shared" si="2"/>
        <v>Caja 2</v>
      </c>
      <c r="H22" s="38"/>
      <c r="I22" s="36" t="s">
        <v>226</v>
      </c>
      <c r="J22" s="36">
        <v>122.25</v>
      </c>
      <c r="K22" s="36">
        <v>14.2</v>
      </c>
      <c r="L22" s="36">
        <v>0.31</v>
      </c>
      <c r="M22" s="36">
        <f t="shared" si="3"/>
        <v>125</v>
      </c>
      <c r="N22" s="36">
        <f t="shared" si="4"/>
        <v>30</v>
      </c>
      <c r="O22" s="36" t="str">
        <f t="shared" si="5"/>
        <v>Caja 2</v>
      </c>
      <c r="Q22" s="15" t="s">
        <v>320</v>
      </c>
      <c r="R22" s="15">
        <v>337.34</v>
      </c>
      <c r="S22" s="15">
        <v>31.75</v>
      </c>
      <c r="T22" s="15">
        <v>3.93</v>
      </c>
      <c r="U22" s="36">
        <f t="shared" si="6"/>
        <v>435</v>
      </c>
      <c r="V22" s="36">
        <f t="shared" si="7"/>
        <v>40</v>
      </c>
      <c r="W22" s="36" t="str">
        <f t="shared" si="8"/>
        <v>Caja 7</v>
      </c>
      <c r="Y22" s="15" t="s">
        <v>363</v>
      </c>
      <c r="Z22" s="15">
        <v>765.25</v>
      </c>
      <c r="AA22" s="15">
        <v>35.86</v>
      </c>
      <c r="AB22" s="15">
        <v>10.67</v>
      </c>
      <c r="AC22" s="36">
        <f t="shared" si="9"/>
        <v>1000</v>
      </c>
      <c r="AD22" s="36">
        <f t="shared" si="10"/>
        <v>40</v>
      </c>
      <c r="AE22" s="36" t="str">
        <f t="shared" si="11"/>
        <v>Caja 10</v>
      </c>
    </row>
    <row r="23" spans="1:31" x14ac:dyDescent="0.55000000000000004">
      <c r="A23" s="36" t="s">
        <v>227</v>
      </c>
      <c r="B23" s="36">
        <v>128.61000000000001</v>
      </c>
      <c r="C23" s="36">
        <v>17.5</v>
      </c>
      <c r="D23" s="36">
        <v>0.33</v>
      </c>
      <c r="E23" s="36">
        <f t="shared" si="0"/>
        <v>156</v>
      </c>
      <c r="F23" s="36">
        <f t="shared" si="1"/>
        <v>30</v>
      </c>
      <c r="G23" s="36" t="str">
        <f t="shared" si="2"/>
        <v>Caja 3</v>
      </c>
      <c r="H23" s="38"/>
      <c r="I23" s="36" t="s">
        <v>227</v>
      </c>
      <c r="J23" s="36">
        <v>128.61000000000001</v>
      </c>
      <c r="K23" s="36">
        <v>17.5</v>
      </c>
      <c r="L23" s="36">
        <v>0.33</v>
      </c>
      <c r="M23" s="36">
        <f t="shared" si="3"/>
        <v>156</v>
      </c>
      <c r="N23" s="36">
        <f t="shared" si="4"/>
        <v>30</v>
      </c>
      <c r="O23" s="36" t="str">
        <f t="shared" si="5"/>
        <v>Caja 3</v>
      </c>
      <c r="Q23" s="15" t="s">
        <v>321</v>
      </c>
      <c r="R23" s="15">
        <v>391.72</v>
      </c>
      <c r="S23" s="15">
        <v>25.4</v>
      </c>
      <c r="T23" s="15">
        <v>2.72</v>
      </c>
      <c r="U23" s="36">
        <f t="shared" si="6"/>
        <v>435</v>
      </c>
      <c r="V23" s="36">
        <f t="shared" si="7"/>
        <v>40</v>
      </c>
      <c r="W23" s="36" t="str">
        <f t="shared" si="8"/>
        <v>Caja 7</v>
      </c>
      <c r="Y23" s="15" t="s">
        <v>364</v>
      </c>
      <c r="Z23" s="15">
        <v>173.51</v>
      </c>
      <c r="AA23" s="15">
        <v>15.85</v>
      </c>
      <c r="AB23" s="15">
        <v>0.83</v>
      </c>
      <c r="AC23" s="36">
        <f t="shared" si="9"/>
        <v>178</v>
      </c>
      <c r="AD23" s="36">
        <f t="shared" si="10"/>
        <v>30</v>
      </c>
      <c r="AE23" s="36" t="str">
        <f t="shared" si="11"/>
        <v>Caja 4</v>
      </c>
    </row>
    <row r="24" spans="1:31" x14ac:dyDescent="0.55000000000000004">
      <c r="A24" s="36" t="s">
        <v>228</v>
      </c>
      <c r="B24" s="36">
        <v>134.96</v>
      </c>
      <c r="C24" s="36">
        <v>17.5</v>
      </c>
      <c r="D24" s="36">
        <v>0.37</v>
      </c>
      <c r="E24" s="36">
        <f t="shared" si="0"/>
        <v>156</v>
      </c>
      <c r="F24" s="36">
        <f t="shared" si="1"/>
        <v>30</v>
      </c>
      <c r="G24" s="36" t="str">
        <f t="shared" si="2"/>
        <v>Caja 3</v>
      </c>
      <c r="H24" s="38"/>
      <c r="I24" s="36" t="s">
        <v>228</v>
      </c>
      <c r="J24" s="36">
        <v>134.96</v>
      </c>
      <c r="K24" s="36">
        <v>17.5</v>
      </c>
      <c r="L24" s="36">
        <v>0.37</v>
      </c>
      <c r="M24" s="36">
        <f t="shared" si="3"/>
        <v>156</v>
      </c>
      <c r="N24" s="36">
        <f t="shared" si="4"/>
        <v>30</v>
      </c>
      <c r="O24" s="36" t="str">
        <f t="shared" si="5"/>
        <v>Caja 3</v>
      </c>
      <c r="Q24" s="15" t="s">
        <v>322</v>
      </c>
      <c r="R24" s="15">
        <v>441.73</v>
      </c>
      <c r="S24" s="15">
        <v>50.8</v>
      </c>
      <c r="T24" s="15">
        <v>13.02</v>
      </c>
      <c r="U24" s="36">
        <f t="shared" si="6"/>
        <v>510</v>
      </c>
      <c r="V24" s="36">
        <f t="shared" si="7"/>
        <v>40</v>
      </c>
      <c r="W24" s="36" t="str">
        <f t="shared" si="8"/>
        <v>Caja 8</v>
      </c>
      <c r="Y24" s="15" t="s">
        <v>365</v>
      </c>
      <c r="Z24" s="15">
        <v>218.03</v>
      </c>
      <c r="AA24" s="15">
        <v>14.22</v>
      </c>
      <c r="AB24" s="15">
        <v>1.04</v>
      </c>
      <c r="AC24" s="36">
        <f t="shared" si="9"/>
        <v>240</v>
      </c>
      <c r="AD24" s="36">
        <f t="shared" si="10"/>
        <v>30</v>
      </c>
      <c r="AE24" s="36" t="str">
        <f t="shared" si="11"/>
        <v>Caja 5</v>
      </c>
    </row>
    <row r="25" spans="1:31" x14ac:dyDescent="0.55000000000000004">
      <c r="A25" s="36" t="s">
        <v>229</v>
      </c>
      <c r="B25" s="36">
        <v>139.69999999999999</v>
      </c>
      <c r="C25" s="36">
        <v>19.100000000000001</v>
      </c>
      <c r="D25" s="36">
        <v>0.39</v>
      </c>
      <c r="E25" s="36">
        <f t="shared" si="0"/>
        <v>156</v>
      </c>
      <c r="F25" s="36">
        <f t="shared" si="1"/>
        <v>30</v>
      </c>
      <c r="G25" s="36" t="str">
        <f t="shared" si="2"/>
        <v>Caja 3</v>
      </c>
      <c r="H25" s="38"/>
      <c r="I25" s="36" t="s">
        <v>229</v>
      </c>
      <c r="J25" s="36">
        <v>139.69999999999999</v>
      </c>
      <c r="K25" s="36">
        <v>19.100000000000001</v>
      </c>
      <c r="L25" s="36">
        <v>0.39</v>
      </c>
      <c r="M25" s="36">
        <f t="shared" si="3"/>
        <v>156</v>
      </c>
      <c r="N25" s="36">
        <f t="shared" si="4"/>
        <v>30</v>
      </c>
      <c r="O25" s="36" t="str">
        <f t="shared" si="5"/>
        <v>Caja 3</v>
      </c>
      <c r="Q25" s="15" t="s">
        <v>323</v>
      </c>
      <c r="R25" s="15">
        <v>480.62</v>
      </c>
      <c r="S25" s="15">
        <v>25.4</v>
      </c>
      <c r="T25" s="15">
        <v>3.38</v>
      </c>
      <c r="U25" s="36">
        <f t="shared" si="6"/>
        <v>510</v>
      </c>
      <c r="V25" s="36">
        <f t="shared" si="7"/>
        <v>40</v>
      </c>
      <c r="W25" s="36" t="str">
        <f t="shared" si="8"/>
        <v>Caja 8</v>
      </c>
      <c r="Y25" s="15" t="s">
        <v>366</v>
      </c>
      <c r="Z25" s="15">
        <v>267.44</v>
      </c>
      <c r="AA25" s="15">
        <v>14.22</v>
      </c>
      <c r="AB25" s="15">
        <v>1.28</v>
      </c>
      <c r="AC25" s="36">
        <f t="shared" si="9"/>
        <v>435</v>
      </c>
      <c r="AD25" s="36">
        <f t="shared" si="10"/>
        <v>40</v>
      </c>
      <c r="AE25" s="36" t="str">
        <f t="shared" si="11"/>
        <v>Caja 7</v>
      </c>
    </row>
    <row r="26" spans="1:31" x14ac:dyDescent="0.55000000000000004">
      <c r="A26" s="36" t="s">
        <v>230</v>
      </c>
      <c r="B26" s="36">
        <v>139.72999999999999</v>
      </c>
      <c r="C26" s="36">
        <v>14.2</v>
      </c>
      <c r="D26" s="36">
        <v>0.42</v>
      </c>
      <c r="E26" s="36">
        <f t="shared" si="0"/>
        <v>156</v>
      </c>
      <c r="F26" s="36">
        <f t="shared" si="1"/>
        <v>30</v>
      </c>
      <c r="G26" s="36" t="str">
        <f t="shared" si="2"/>
        <v>Caja 3</v>
      </c>
      <c r="H26" s="38"/>
      <c r="I26" s="36" t="s">
        <v>230</v>
      </c>
      <c r="J26" s="36">
        <v>139.72999999999999</v>
      </c>
      <c r="K26" s="36">
        <v>14.2</v>
      </c>
      <c r="L26" s="36">
        <v>0.42</v>
      </c>
      <c r="M26" s="36">
        <f t="shared" si="3"/>
        <v>156</v>
      </c>
      <c r="N26" s="36">
        <f t="shared" si="4"/>
        <v>30</v>
      </c>
      <c r="O26" s="36" t="str">
        <f t="shared" si="5"/>
        <v>Caja 3</v>
      </c>
      <c r="Q26" s="15" t="s">
        <v>324</v>
      </c>
      <c r="R26" s="15">
        <v>457.99</v>
      </c>
      <c r="S26" s="15">
        <v>31.75</v>
      </c>
      <c r="T26" s="15">
        <v>5.5</v>
      </c>
      <c r="U26" s="36">
        <f t="shared" si="6"/>
        <v>510</v>
      </c>
      <c r="V26" s="36">
        <f t="shared" si="7"/>
        <v>40</v>
      </c>
      <c r="W26" s="36" t="str">
        <f t="shared" si="8"/>
        <v>Caja 8</v>
      </c>
      <c r="Y26" s="15" t="s">
        <v>367</v>
      </c>
      <c r="Z26" s="15">
        <v>333.07</v>
      </c>
      <c r="AA26" s="15">
        <v>14.22</v>
      </c>
      <c r="AB26" s="15">
        <v>1.61</v>
      </c>
      <c r="AC26" s="36">
        <f t="shared" si="9"/>
        <v>435</v>
      </c>
      <c r="AD26" s="36">
        <f t="shared" si="10"/>
        <v>40</v>
      </c>
      <c r="AE26" s="36" t="str">
        <f t="shared" si="11"/>
        <v>Caja 7</v>
      </c>
    </row>
    <row r="27" spans="1:31" x14ac:dyDescent="0.55000000000000004">
      <c r="A27" s="36" t="s">
        <v>231</v>
      </c>
      <c r="B27" s="36">
        <v>142.91</v>
      </c>
      <c r="C27" s="36">
        <v>17.5</v>
      </c>
      <c r="D27" s="36">
        <v>0.42</v>
      </c>
      <c r="E27" s="36">
        <f t="shared" si="0"/>
        <v>156</v>
      </c>
      <c r="F27" s="36">
        <f t="shared" si="1"/>
        <v>30</v>
      </c>
      <c r="G27" s="36" t="str">
        <f t="shared" si="2"/>
        <v>Caja 3</v>
      </c>
      <c r="H27" s="38"/>
      <c r="I27" s="36" t="s">
        <v>231</v>
      </c>
      <c r="J27" s="36">
        <v>142.91</v>
      </c>
      <c r="K27" s="36">
        <v>17.5</v>
      </c>
      <c r="L27" s="36">
        <v>0.42</v>
      </c>
      <c r="M27" s="36">
        <f t="shared" si="3"/>
        <v>156</v>
      </c>
      <c r="N27" s="36">
        <f t="shared" si="4"/>
        <v>30</v>
      </c>
      <c r="O27" s="36" t="str">
        <f t="shared" si="5"/>
        <v>Caja 3</v>
      </c>
      <c r="Q27" s="15" t="s">
        <v>325</v>
      </c>
      <c r="R27" s="15">
        <v>544.12</v>
      </c>
      <c r="S27" s="15">
        <v>25.4</v>
      </c>
      <c r="T27" s="15">
        <v>3.85</v>
      </c>
      <c r="U27" s="36">
        <f t="shared" si="6"/>
        <v>640</v>
      </c>
      <c r="V27" s="36">
        <f t="shared" si="7"/>
        <v>40</v>
      </c>
      <c r="W27" s="36" t="str">
        <f t="shared" si="8"/>
        <v>Caja 9</v>
      </c>
      <c r="Y27" s="15" t="s">
        <v>368</v>
      </c>
      <c r="Z27" s="15">
        <v>852.75</v>
      </c>
      <c r="AA27" s="15">
        <v>37.950000000000003</v>
      </c>
      <c r="AB27" s="15">
        <v>13.31</v>
      </c>
      <c r="AC27" s="36">
        <f t="shared" si="9"/>
        <v>1000</v>
      </c>
      <c r="AD27" s="36">
        <f t="shared" si="10"/>
        <v>40</v>
      </c>
      <c r="AE27" s="36" t="str">
        <f t="shared" si="11"/>
        <v>Caja 10</v>
      </c>
    </row>
    <row r="28" spans="1:31" x14ac:dyDescent="0.55000000000000004">
      <c r="A28" s="36" t="s">
        <v>232</v>
      </c>
      <c r="B28" s="36">
        <v>147.66</v>
      </c>
      <c r="C28" s="36">
        <v>17.5</v>
      </c>
      <c r="D28" s="36">
        <v>0.45</v>
      </c>
      <c r="E28" s="36">
        <f t="shared" si="0"/>
        <v>156</v>
      </c>
      <c r="F28" s="36">
        <f t="shared" si="1"/>
        <v>30</v>
      </c>
      <c r="G28" s="36" t="str">
        <f t="shared" si="2"/>
        <v>Caja 3</v>
      </c>
      <c r="H28" s="38"/>
      <c r="I28" s="36" t="s">
        <v>232</v>
      </c>
      <c r="J28" s="36">
        <v>147.66</v>
      </c>
      <c r="K28" s="36">
        <v>17.5</v>
      </c>
      <c r="L28" s="36">
        <v>0.45</v>
      </c>
      <c r="M28" s="36">
        <f t="shared" si="3"/>
        <v>156</v>
      </c>
      <c r="N28" s="36">
        <f t="shared" si="4"/>
        <v>30</v>
      </c>
      <c r="O28" s="36" t="str">
        <f t="shared" si="5"/>
        <v>Caja 3</v>
      </c>
      <c r="Q28" s="15" t="s">
        <v>326</v>
      </c>
      <c r="R28" s="15">
        <v>550.05999999999995</v>
      </c>
      <c r="S28" s="15">
        <v>41.28</v>
      </c>
      <c r="T28" s="15">
        <v>10.23</v>
      </c>
      <c r="U28" s="36">
        <f t="shared" si="6"/>
        <v>640</v>
      </c>
      <c r="V28" s="36">
        <f t="shared" si="7"/>
        <v>40</v>
      </c>
      <c r="W28" s="36" t="str">
        <f t="shared" si="8"/>
        <v>Caja 9</v>
      </c>
    </row>
    <row r="29" spans="1:31" x14ac:dyDescent="0.55000000000000004">
      <c r="A29" s="36" t="s">
        <v>233</v>
      </c>
      <c r="B29" s="36">
        <v>157.17999999999998</v>
      </c>
      <c r="C29" s="36">
        <v>14.2</v>
      </c>
      <c r="D29" s="36">
        <v>0.54</v>
      </c>
      <c r="E29" s="36">
        <f t="shared" si="0"/>
        <v>178</v>
      </c>
      <c r="F29" s="36">
        <f t="shared" si="1"/>
        <v>30</v>
      </c>
      <c r="G29" s="36" t="str">
        <f t="shared" si="2"/>
        <v>Caja 4</v>
      </c>
      <c r="H29" s="38"/>
      <c r="I29" s="36" t="s">
        <v>233</v>
      </c>
      <c r="J29" s="36">
        <v>157.17999999999998</v>
      </c>
      <c r="K29" s="36">
        <v>14.2</v>
      </c>
      <c r="L29" s="36">
        <v>0.54</v>
      </c>
      <c r="M29" s="36">
        <f t="shared" si="3"/>
        <v>178</v>
      </c>
      <c r="N29" s="36">
        <f t="shared" si="4"/>
        <v>30</v>
      </c>
      <c r="O29" s="36" t="str">
        <f t="shared" si="5"/>
        <v>Caja 4</v>
      </c>
      <c r="Q29" s="15" t="s">
        <v>327</v>
      </c>
      <c r="R29" s="15">
        <v>596.11</v>
      </c>
      <c r="S29" s="15">
        <v>31.75</v>
      </c>
      <c r="T29" s="15">
        <v>5.97</v>
      </c>
      <c r="U29" s="36">
        <f t="shared" si="6"/>
        <v>640</v>
      </c>
      <c r="V29" s="36">
        <f t="shared" si="7"/>
        <v>40</v>
      </c>
      <c r="W29" s="36" t="str">
        <f t="shared" si="8"/>
        <v>Caja 9</v>
      </c>
    </row>
    <row r="30" spans="1:31" x14ac:dyDescent="0.55000000000000004">
      <c r="A30" s="36" t="s">
        <v>234</v>
      </c>
      <c r="B30" s="36">
        <v>160.35999999999999</v>
      </c>
      <c r="C30" s="36">
        <v>17.5</v>
      </c>
      <c r="D30" s="36">
        <v>0.54</v>
      </c>
      <c r="E30" s="36">
        <f t="shared" si="0"/>
        <v>178</v>
      </c>
      <c r="F30" s="36">
        <f t="shared" si="1"/>
        <v>30</v>
      </c>
      <c r="G30" s="36" t="str">
        <f t="shared" si="2"/>
        <v>Caja 4</v>
      </c>
      <c r="H30" s="38"/>
      <c r="I30" s="36" t="s">
        <v>234</v>
      </c>
      <c r="J30" s="36">
        <v>160.35999999999999</v>
      </c>
      <c r="K30" s="36">
        <v>17.5</v>
      </c>
      <c r="L30" s="36">
        <v>0.54</v>
      </c>
      <c r="M30" s="36">
        <f t="shared" si="3"/>
        <v>178</v>
      </c>
      <c r="N30" s="36">
        <f t="shared" si="4"/>
        <v>30</v>
      </c>
      <c r="O30" s="36" t="str">
        <f t="shared" si="5"/>
        <v>Caja 4</v>
      </c>
      <c r="Q30" s="15" t="s">
        <v>328</v>
      </c>
      <c r="R30" s="15">
        <v>600.86</v>
      </c>
      <c r="S30" s="15">
        <v>41.28</v>
      </c>
      <c r="T30" s="15">
        <v>11.25</v>
      </c>
      <c r="U30" s="36">
        <f t="shared" si="6"/>
        <v>640</v>
      </c>
      <c r="V30" s="36">
        <f t="shared" si="7"/>
        <v>40</v>
      </c>
      <c r="W30" s="36" t="str">
        <f t="shared" si="8"/>
        <v>Caja 9</v>
      </c>
    </row>
    <row r="31" spans="1:31" x14ac:dyDescent="0.55000000000000004">
      <c r="A31" s="36" t="s">
        <v>235</v>
      </c>
      <c r="B31" s="36">
        <v>173.06</v>
      </c>
      <c r="C31" s="36">
        <v>22.4</v>
      </c>
      <c r="D31" s="36">
        <v>0.6</v>
      </c>
      <c r="E31" s="36">
        <f t="shared" si="0"/>
        <v>178</v>
      </c>
      <c r="F31" s="36">
        <f t="shared" si="1"/>
        <v>30</v>
      </c>
      <c r="G31" s="36" t="str">
        <f t="shared" si="2"/>
        <v>Caja 4</v>
      </c>
      <c r="H31" s="38"/>
      <c r="I31" s="36" t="s">
        <v>235</v>
      </c>
      <c r="J31" s="36">
        <v>173.06</v>
      </c>
      <c r="K31" s="36">
        <v>22.4</v>
      </c>
      <c r="L31" s="36">
        <v>0.6</v>
      </c>
      <c r="M31" s="36">
        <f t="shared" si="3"/>
        <v>178</v>
      </c>
      <c r="N31" s="36">
        <f t="shared" si="4"/>
        <v>30</v>
      </c>
      <c r="O31" s="36" t="str">
        <f t="shared" si="5"/>
        <v>Caja 4</v>
      </c>
      <c r="Q31" s="15" t="s">
        <v>329</v>
      </c>
      <c r="R31" s="15">
        <v>67.87</v>
      </c>
      <c r="S31" s="15">
        <v>25.4</v>
      </c>
      <c r="T31" s="15">
        <v>0.32</v>
      </c>
      <c r="U31" s="36">
        <f t="shared" si="6"/>
        <v>85</v>
      </c>
      <c r="V31" s="36">
        <f t="shared" si="7"/>
        <v>30</v>
      </c>
      <c r="W31" s="36" t="str">
        <f t="shared" si="8"/>
        <v>Caja 1</v>
      </c>
    </row>
    <row r="32" spans="1:31" x14ac:dyDescent="0.55000000000000004">
      <c r="A32" s="36" t="s">
        <v>236</v>
      </c>
      <c r="B32" s="36">
        <v>173.06</v>
      </c>
      <c r="C32" s="36">
        <v>17.5</v>
      </c>
      <c r="D32" s="36">
        <v>0.64</v>
      </c>
      <c r="E32" s="36">
        <f t="shared" si="0"/>
        <v>178</v>
      </c>
      <c r="F32" s="36">
        <f t="shared" si="1"/>
        <v>30</v>
      </c>
      <c r="G32" s="36" t="str">
        <f t="shared" si="2"/>
        <v>Caja 4</v>
      </c>
      <c r="H32" s="38"/>
      <c r="I32" s="36" t="s">
        <v>236</v>
      </c>
      <c r="J32" s="36">
        <v>173.06</v>
      </c>
      <c r="K32" s="36">
        <v>17.5</v>
      </c>
      <c r="L32" s="36">
        <v>0.64</v>
      </c>
      <c r="M32" s="36">
        <f t="shared" si="3"/>
        <v>178</v>
      </c>
      <c r="N32" s="36">
        <f t="shared" si="4"/>
        <v>30</v>
      </c>
      <c r="O32" s="36" t="str">
        <f t="shared" si="5"/>
        <v>Caja 4</v>
      </c>
      <c r="Q32" s="15" t="s">
        <v>330</v>
      </c>
      <c r="R32" s="15">
        <v>74.22</v>
      </c>
      <c r="S32" s="15">
        <v>25.4</v>
      </c>
      <c r="T32" s="15">
        <v>0.37</v>
      </c>
      <c r="U32" s="36">
        <f t="shared" si="6"/>
        <v>85</v>
      </c>
      <c r="V32" s="36">
        <f t="shared" si="7"/>
        <v>30</v>
      </c>
      <c r="W32" s="36" t="str">
        <f t="shared" si="8"/>
        <v>Caja 1</v>
      </c>
    </row>
    <row r="33" spans="1:23" x14ac:dyDescent="0.55000000000000004">
      <c r="A33" s="36" t="s">
        <v>237</v>
      </c>
      <c r="B33" s="36">
        <v>179.39999999999998</v>
      </c>
      <c r="C33" s="36">
        <v>14.2</v>
      </c>
      <c r="D33" s="36">
        <v>0.71</v>
      </c>
      <c r="E33" s="36">
        <f t="shared" si="0"/>
        <v>240</v>
      </c>
      <c r="F33" s="36">
        <f t="shared" si="1"/>
        <v>30</v>
      </c>
      <c r="G33" s="36" t="str">
        <f t="shared" si="2"/>
        <v>Caja 5</v>
      </c>
      <c r="H33" s="38"/>
      <c r="I33" s="36" t="s">
        <v>237</v>
      </c>
      <c r="J33" s="36">
        <v>179.39999999999998</v>
      </c>
      <c r="K33" s="36">
        <v>14.2</v>
      </c>
      <c r="L33" s="36">
        <v>0.71</v>
      </c>
      <c r="M33" s="36">
        <f t="shared" si="3"/>
        <v>240</v>
      </c>
      <c r="N33" s="36">
        <f t="shared" si="4"/>
        <v>30</v>
      </c>
      <c r="O33" s="36" t="str">
        <f t="shared" si="5"/>
        <v>Caja 5</v>
      </c>
      <c r="Q33" s="15" t="s">
        <v>331</v>
      </c>
      <c r="R33" s="15">
        <v>90.09</v>
      </c>
      <c r="S33" s="15">
        <v>25.4</v>
      </c>
      <c r="T33" s="15">
        <v>0.52</v>
      </c>
      <c r="U33" s="36">
        <f t="shared" si="6"/>
        <v>125</v>
      </c>
      <c r="V33" s="36">
        <f t="shared" si="7"/>
        <v>30</v>
      </c>
      <c r="W33" s="36" t="str">
        <f t="shared" si="8"/>
        <v>Caja 2</v>
      </c>
    </row>
    <row r="34" spans="1:23" x14ac:dyDescent="0.55000000000000004">
      <c r="A34" s="36" t="s">
        <v>238</v>
      </c>
      <c r="B34" s="36">
        <v>192.10999999999999</v>
      </c>
      <c r="C34" s="36">
        <v>17.5</v>
      </c>
      <c r="D34" s="36">
        <v>0.8</v>
      </c>
      <c r="E34" s="36">
        <f t="shared" si="0"/>
        <v>240</v>
      </c>
      <c r="F34" s="36">
        <f t="shared" si="1"/>
        <v>30</v>
      </c>
      <c r="G34" s="36" t="str">
        <f t="shared" si="2"/>
        <v>Caja 5</v>
      </c>
      <c r="H34" s="38"/>
      <c r="I34" s="36" t="s">
        <v>238</v>
      </c>
      <c r="J34" s="36">
        <v>192.10999999999999</v>
      </c>
      <c r="K34" s="36">
        <v>17.5</v>
      </c>
      <c r="L34" s="36">
        <v>0.8</v>
      </c>
      <c r="M34" s="36">
        <f t="shared" si="3"/>
        <v>240</v>
      </c>
      <c r="N34" s="36">
        <f t="shared" si="4"/>
        <v>30</v>
      </c>
      <c r="O34" s="36" t="str">
        <f t="shared" si="5"/>
        <v>Caja 5</v>
      </c>
      <c r="Q34" s="15" t="s">
        <v>332</v>
      </c>
      <c r="R34" s="15">
        <v>103.58</v>
      </c>
      <c r="S34" s="15">
        <v>28.58</v>
      </c>
      <c r="T34" s="15">
        <v>0.77</v>
      </c>
      <c r="U34" s="36">
        <f t="shared" si="6"/>
        <v>125</v>
      </c>
      <c r="V34" s="36">
        <f t="shared" si="7"/>
        <v>30</v>
      </c>
      <c r="W34" s="36" t="str">
        <f t="shared" si="8"/>
        <v>Caja 2</v>
      </c>
    </row>
    <row r="35" spans="1:23" x14ac:dyDescent="0.55000000000000004">
      <c r="A35" s="36" t="s">
        <v>239</v>
      </c>
      <c r="B35" s="36">
        <v>209.55</v>
      </c>
      <c r="C35" s="36">
        <v>25.4</v>
      </c>
      <c r="D35" s="36">
        <v>0.88</v>
      </c>
      <c r="E35" s="36">
        <f t="shared" si="0"/>
        <v>240</v>
      </c>
      <c r="F35" s="36">
        <f t="shared" si="1"/>
        <v>30</v>
      </c>
      <c r="G35" s="36" t="str">
        <f t="shared" si="2"/>
        <v>Caja 5</v>
      </c>
      <c r="H35" s="38"/>
      <c r="I35" s="36" t="s">
        <v>239</v>
      </c>
      <c r="J35" s="36">
        <v>209.55</v>
      </c>
      <c r="K35" s="36">
        <v>25.4</v>
      </c>
      <c r="L35" s="36">
        <v>0.88</v>
      </c>
      <c r="M35" s="36">
        <f t="shared" si="3"/>
        <v>240</v>
      </c>
      <c r="N35" s="36">
        <f t="shared" si="4"/>
        <v>30</v>
      </c>
      <c r="O35" s="36" t="str">
        <f t="shared" si="5"/>
        <v>Caja 5</v>
      </c>
      <c r="Q35" s="15" t="s">
        <v>333</v>
      </c>
      <c r="R35" s="15">
        <v>113.11</v>
      </c>
      <c r="S35" s="15">
        <v>28.58</v>
      </c>
      <c r="T35" s="15">
        <v>0.87</v>
      </c>
      <c r="U35" s="36">
        <f t="shared" si="6"/>
        <v>125</v>
      </c>
      <c r="V35" s="36">
        <f t="shared" si="7"/>
        <v>30</v>
      </c>
      <c r="W35" s="36" t="str">
        <f t="shared" si="8"/>
        <v>Caja 2</v>
      </c>
    </row>
    <row r="36" spans="1:23" x14ac:dyDescent="0.55000000000000004">
      <c r="A36" s="36" t="s">
        <v>240</v>
      </c>
      <c r="B36" s="36">
        <v>201.63</v>
      </c>
      <c r="C36" s="36">
        <v>14.2</v>
      </c>
      <c r="D36" s="36">
        <v>0.91</v>
      </c>
      <c r="E36" s="36">
        <f t="shared" si="0"/>
        <v>240</v>
      </c>
      <c r="F36" s="36">
        <f t="shared" si="1"/>
        <v>30</v>
      </c>
      <c r="G36" s="36" t="str">
        <f t="shared" si="2"/>
        <v>Caja 5</v>
      </c>
      <c r="H36" s="38"/>
      <c r="I36" s="36" t="s">
        <v>240</v>
      </c>
      <c r="J36" s="36">
        <v>201.63</v>
      </c>
      <c r="K36" s="36">
        <v>14.2</v>
      </c>
      <c r="L36" s="36">
        <v>0.91</v>
      </c>
      <c r="M36" s="36">
        <f t="shared" si="3"/>
        <v>240</v>
      </c>
      <c r="N36" s="36">
        <f t="shared" si="4"/>
        <v>30</v>
      </c>
      <c r="O36" s="36" t="str">
        <f t="shared" si="5"/>
        <v>Caja 5</v>
      </c>
      <c r="Q36" s="15" t="s">
        <v>334</v>
      </c>
      <c r="R36" s="15">
        <v>139.29</v>
      </c>
      <c r="S36" s="15">
        <v>31.75</v>
      </c>
      <c r="T36" s="15">
        <v>1.41</v>
      </c>
      <c r="U36" s="36">
        <f t="shared" si="6"/>
        <v>156</v>
      </c>
      <c r="V36" s="36">
        <f t="shared" si="7"/>
        <v>30</v>
      </c>
      <c r="W36" s="36" t="str">
        <f t="shared" si="8"/>
        <v>Caja 3</v>
      </c>
    </row>
    <row r="37" spans="1:23" x14ac:dyDescent="0.55000000000000004">
      <c r="A37" s="36" t="s">
        <v>241</v>
      </c>
      <c r="B37" s="36">
        <v>204.81</v>
      </c>
      <c r="C37" s="36">
        <v>17.5</v>
      </c>
      <c r="D37" s="36">
        <v>0.91</v>
      </c>
      <c r="E37" s="36">
        <f t="shared" si="0"/>
        <v>240</v>
      </c>
      <c r="F37" s="36">
        <f t="shared" si="1"/>
        <v>30</v>
      </c>
      <c r="G37" s="36" t="str">
        <f t="shared" si="2"/>
        <v>Caja 5</v>
      </c>
      <c r="H37" s="38"/>
      <c r="I37" s="36" t="s">
        <v>241</v>
      </c>
      <c r="J37" s="36">
        <v>204.81</v>
      </c>
      <c r="K37" s="36">
        <v>17.5</v>
      </c>
      <c r="L37" s="36">
        <v>0.91</v>
      </c>
      <c r="M37" s="36">
        <f t="shared" si="3"/>
        <v>240</v>
      </c>
      <c r="N37" s="36">
        <f t="shared" si="4"/>
        <v>30</v>
      </c>
      <c r="O37" s="36" t="str">
        <f t="shared" si="5"/>
        <v>Caja 5</v>
      </c>
      <c r="Q37" s="15" t="s">
        <v>335</v>
      </c>
      <c r="R37" s="15">
        <v>129.77000000000001</v>
      </c>
      <c r="S37" s="15">
        <v>31.75</v>
      </c>
      <c r="T37" s="15">
        <v>1.32</v>
      </c>
      <c r="U37" s="36">
        <f t="shared" si="6"/>
        <v>156</v>
      </c>
      <c r="V37" s="36">
        <f t="shared" si="7"/>
        <v>30</v>
      </c>
      <c r="W37" s="36" t="str">
        <f t="shared" si="8"/>
        <v>Caja 3</v>
      </c>
    </row>
    <row r="38" spans="1:23" x14ac:dyDescent="0.55000000000000004">
      <c r="A38" s="36" t="s">
        <v>242</v>
      </c>
      <c r="B38" s="36">
        <v>222.28</v>
      </c>
      <c r="C38" s="36">
        <v>17.5</v>
      </c>
      <c r="D38" s="36">
        <v>1.0900000000000001</v>
      </c>
      <c r="E38" s="36">
        <f t="shared" si="0"/>
        <v>240</v>
      </c>
      <c r="F38" s="36">
        <f t="shared" si="1"/>
        <v>30</v>
      </c>
      <c r="G38" s="36" t="str">
        <f t="shared" si="2"/>
        <v>Caja 5</v>
      </c>
      <c r="H38" s="38"/>
      <c r="I38" s="36" t="s">
        <v>242</v>
      </c>
      <c r="J38" s="36">
        <v>222.28</v>
      </c>
      <c r="K38" s="36">
        <v>17.5</v>
      </c>
      <c r="L38" s="36">
        <v>1.0900000000000001</v>
      </c>
      <c r="M38" s="36">
        <f t="shared" si="3"/>
        <v>240</v>
      </c>
      <c r="N38" s="36">
        <f t="shared" si="4"/>
        <v>30</v>
      </c>
      <c r="O38" s="36" t="str">
        <f t="shared" si="5"/>
        <v>Caja 5</v>
      </c>
      <c r="Q38" s="15" t="s">
        <v>336</v>
      </c>
      <c r="R38" s="15">
        <v>174.63</v>
      </c>
      <c r="S38" s="15">
        <v>44.45</v>
      </c>
      <c r="T38" s="15">
        <v>2.91</v>
      </c>
      <c r="U38" s="36">
        <f t="shared" si="6"/>
        <v>178</v>
      </c>
      <c r="V38" s="36">
        <f t="shared" si="7"/>
        <v>30</v>
      </c>
      <c r="W38" s="36" t="str">
        <f t="shared" si="8"/>
        <v>Caja 4</v>
      </c>
    </row>
    <row r="39" spans="1:23" x14ac:dyDescent="0.55000000000000004">
      <c r="A39" s="36" t="s">
        <v>243</v>
      </c>
      <c r="B39" s="36">
        <v>223.85</v>
      </c>
      <c r="C39" s="36">
        <v>19.100000000000001</v>
      </c>
      <c r="D39" s="36">
        <v>1.0900000000000001</v>
      </c>
      <c r="E39" s="36">
        <f t="shared" si="0"/>
        <v>240</v>
      </c>
      <c r="F39" s="36">
        <f t="shared" si="1"/>
        <v>30</v>
      </c>
      <c r="G39" s="36" t="str">
        <f t="shared" si="2"/>
        <v>Caja 5</v>
      </c>
      <c r="H39" s="38"/>
      <c r="I39" s="36" t="s">
        <v>243</v>
      </c>
      <c r="J39" s="36">
        <v>223.85</v>
      </c>
      <c r="K39" s="36">
        <v>19.100000000000001</v>
      </c>
      <c r="L39" s="36">
        <v>1.0900000000000001</v>
      </c>
      <c r="M39" s="36">
        <f t="shared" si="3"/>
        <v>240</v>
      </c>
      <c r="N39" s="36">
        <f t="shared" si="4"/>
        <v>30</v>
      </c>
      <c r="O39" s="36" t="str">
        <f t="shared" si="5"/>
        <v>Caja 5</v>
      </c>
      <c r="Q39" s="15" t="s">
        <v>337</v>
      </c>
      <c r="R39" s="15">
        <v>286.94</v>
      </c>
      <c r="S39" s="15">
        <v>45.24</v>
      </c>
      <c r="T39" s="15">
        <v>7.57</v>
      </c>
      <c r="U39" s="36">
        <f t="shared" si="6"/>
        <v>435</v>
      </c>
      <c r="V39" s="36">
        <f t="shared" si="7"/>
        <v>40</v>
      </c>
      <c r="W39" s="36" t="str">
        <f t="shared" si="8"/>
        <v>Caja 7</v>
      </c>
    </row>
    <row r="40" spans="1:23" x14ac:dyDescent="0.55000000000000004">
      <c r="A40" s="36" t="s">
        <v>244</v>
      </c>
      <c r="B40" s="36">
        <v>247.65</v>
      </c>
      <c r="C40" s="36">
        <v>25.4</v>
      </c>
      <c r="D40" s="36">
        <v>1.27</v>
      </c>
      <c r="E40" s="36">
        <f t="shared" si="0"/>
        <v>255</v>
      </c>
      <c r="F40" s="36">
        <f t="shared" si="1"/>
        <v>30</v>
      </c>
      <c r="G40" s="36" t="str">
        <f t="shared" si="2"/>
        <v>Caja 6</v>
      </c>
      <c r="H40" s="38"/>
      <c r="I40" s="36" t="s">
        <v>244</v>
      </c>
      <c r="J40" s="36">
        <v>247.65</v>
      </c>
      <c r="K40" s="36">
        <v>25.4</v>
      </c>
      <c r="L40" s="36">
        <v>1.27</v>
      </c>
      <c r="M40" s="36">
        <f t="shared" si="3"/>
        <v>255</v>
      </c>
      <c r="N40" s="36">
        <f t="shared" si="4"/>
        <v>30</v>
      </c>
      <c r="O40" s="36" t="str">
        <f t="shared" si="5"/>
        <v>Caja 6</v>
      </c>
      <c r="Q40" s="15" t="s">
        <v>338</v>
      </c>
      <c r="R40" s="15">
        <v>245.67</v>
      </c>
      <c r="S40" s="15">
        <v>4.24</v>
      </c>
      <c r="T40" s="15">
        <v>1.64</v>
      </c>
      <c r="U40" s="36">
        <f t="shared" si="6"/>
        <v>255</v>
      </c>
      <c r="V40" s="36">
        <f t="shared" si="7"/>
        <v>30</v>
      </c>
      <c r="W40" s="36" t="str">
        <f t="shared" si="8"/>
        <v>Caja 6</v>
      </c>
    </row>
    <row r="41" spans="1:23" x14ac:dyDescent="0.55000000000000004">
      <c r="A41" s="36" t="s">
        <v>245</v>
      </c>
      <c r="B41" s="36">
        <v>255.6</v>
      </c>
      <c r="C41" s="36">
        <v>14.2</v>
      </c>
      <c r="D41" s="36">
        <v>1.5</v>
      </c>
      <c r="E41" s="36">
        <f t="shared" si="0"/>
        <v>435</v>
      </c>
      <c r="F41" s="36">
        <f t="shared" si="1"/>
        <v>40</v>
      </c>
      <c r="G41" s="36" t="str">
        <f t="shared" si="2"/>
        <v>Caja 7</v>
      </c>
      <c r="H41" s="38"/>
      <c r="I41" s="36" t="s">
        <v>245</v>
      </c>
      <c r="J41" s="36">
        <v>255.6</v>
      </c>
      <c r="K41" s="36">
        <v>14.2</v>
      </c>
      <c r="L41" s="36">
        <v>1.5</v>
      </c>
      <c r="M41" s="36">
        <f t="shared" si="3"/>
        <v>435</v>
      </c>
      <c r="N41" s="36">
        <f t="shared" si="4"/>
        <v>40</v>
      </c>
      <c r="O41" s="36" t="str">
        <f t="shared" si="5"/>
        <v>Caja 7</v>
      </c>
      <c r="Q41" s="15" t="s">
        <v>339</v>
      </c>
      <c r="R41" s="15">
        <v>51.46</v>
      </c>
      <c r="S41" s="15">
        <v>11.3</v>
      </c>
      <c r="T41" s="15">
        <v>0.06</v>
      </c>
      <c r="U41" s="36">
        <f t="shared" si="6"/>
        <v>85</v>
      </c>
      <c r="V41" s="36">
        <f t="shared" si="7"/>
        <v>30</v>
      </c>
      <c r="W41" s="36" t="str">
        <f t="shared" si="8"/>
        <v>Caja 1</v>
      </c>
    </row>
    <row r="42" spans="1:23" x14ac:dyDescent="0.55000000000000004">
      <c r="A42" s="36" t="s">
        <v>246</v>
      </c>
      <c r="B42" s="36">
        <v>281.01</v>
      </c>
      <c r="C42" s="36">
        <v>17.5</v>
      </c>
      <c r="D42" s="36">
        <v>1.78</v>
      </c>
      <c r="E42" s="36">
        <f t="shared" si="0"/>
        <v>435</v>
      </c>
      <c r="F42" s="36">
        <f t="shared" si="1"/>
        <v>40</v>
      </c>
      <c r="G42" s="36" t="str">
        <f t="shared" si="2"/>
        <v>Caja 7</v>
      </c>
      <c r="H42" s="38"/>
      <c r="I42" s="36" t="s">
        <v>246</v>
      </c>
      <c r="J42" s="36">
        <v>281.01</v>
      </c>
      <c r="K42" s="36">
        <v>17.5</v>
      </c>
      <c r="L42" s="36">
        <v>1.78</v>
      </c>
      <c r="M42" s="36">
        <f t="shared" si="3"/>
        <v>435</v>
      </c>
      <c r="N42" s="36">
        <f t="shared" si="4"/>
        <v>40</v>
      </c>
      <c r="O42" s="36" t="str">
        <f t="shared" si="5"/>
        <v>Caja 7</v>
      </c>
      <c r="Q42" s="15" t="s">
        <v>340</v>
      </c>
      <c r="R42" s="15">
        <v>62.31</v>
      </c>
      <c r="S42" s="15">
        <v>11.1</v>
      </c>
      <c r="T42" s="15">
        <v>7.0000000000000007E-2</v>
      </c>
      <c r="U42" s="36">
        <f t="shared" si="6"/>
        <v>85</v>
      </c>
      <c r="V42" s="36">
        <f t="shared" si="7"/>
        <v>30</v>
      </c>
      <c r="W42" s="36" t="str">
        <f t="shared" si="8"/>
        <v>Caja 1</v>
      </c>
    </row>
    <row r="43" spans="1:23" x14ac:dyDescent="0.55000000000000004">
      <c r="A43" s="36" t="s">
        <v>247</v>
      </c>
      <c r="B43" s="36">
        <v>285.76</v>
      </c>
      <c r="C43" s="36">
        <v>22.4</v>
      </c>
      <c r="D43" s="36">
        <v>1.78</v>
      </c>
      <c r="E43" s="36">
        <f t="shared" si="0"/>
        <v>435</v>
      </c>
      <c r="F43" s="36">
        <f t="shared" si="1"/>
        <v>40</v>
      </c>
      <c r="G43" s="36" t="str">
        <f t="shared" si="2"/>
        <v>Caja 7</v>
      </c>
      <c r="H43" s="38"/>
      <c r="I43" s="36" t="s">
        <v>247</v>
      </c>
      <c r="J43" s="36">
        <v>285.76</v>
      </c>
      <c r="K43" s="36">
        <v>22.4</v>
      </c>
      <c r="L43" s="36">
        <v>1.78</v>
      </c>
      <c r="M43" s="36">
        <f t="shared" si="3"/>
        <v>435</v>
      </c>
      <c r="N43" s="36">
        <f t="shared" si="4"/>
        <v>40</v>
      </c>
      <c r="O43" s="36" t="str">
        <f t="shared" si="5"/>
        <v>Caja 7</v>
      </c>
      <c r="Q43" s="15" t="s">
        <v>341</v>
      </c>
      <c r="R43" s="15">
        <v>97.64</v>
      </c>
      <c r="S43" s="15">
        <v>19.05</v>
      </c>
      <c r="T43" s="15">
        <v>0.34</v>
      </c>
      <c r="U43" s="36">
        <f t="shared" si="6"/>
        <v>125</v>
      </c>
      <c r="V43" s="36">
        <f t="shared" si="7"/>
        <v>30</v>
      </c>
      <c r="W43" s="36" t="str">
        <f t="shared" si="8"/>
        <v>Caja 2</v>
      </c>
    </row>
    <row r="44" spans="1:23" x14ac:dyDescent="0.55000000000000004">
      <c r="A44" s="36" t="s">
        <v>248</v>
      </c>
      <c r="B44" s="36">
        <v>301.63</v>
      </c>
      <c r="C44" s="36">
        <v>28.7</v>
      </c>
      <c r="D44" s="36">
        <v>1.91</v>
      </c>
      <c r="E44" s="36">
        <f t="shared" si="0"/>
        <v>435</v>
      </c>
      <c r="F44" s="36">
        <f t="shared" si="1"/>
        <v>40</v>
      </c>
      <c r="G44" s="36" t="str">
        <f t="shared" si="2"/>
        <v>Caja 7</v>
      </c>
      <c r="H44" s="38"/>
      <c r="I44" s="36" t="s">
        <v>248</v>
      </c>
      <c r="J44" s="36">
        <v>301.63</v>
      </c>
      <c r="K44" s="36">
        <v>28.7</v>
      </c>
      <c r="L44" s="36">
        <v>1.91</v>
      </c>
      <c r="M44" s="36">
        <f t="shared" si="3"/>
        <v>435</v>
      </c>
      <c r="N44" s="36">
        <f t="shared" si="4"/>
        <v>40</v>
      </c>
      <c r="O44" s="36" t="str">
        <f t="shared" si="5"/>
        <v>Caja 7</v>
      </c>
      <c r="Q44" s="15" t="s">
        <v>342</v>
      </c>
      <c r="R44" s="15">
        <v>140.88999999999999</v>
      </c>
      <c r="S44" s="15">
        <v>25.4</v>
      </c>
      <c r="T44" s="15">
        <v>0.86</v>
      </c>
      <c r="U44" s="36">
        <f t="shared" si="6"/>
        <v>156</v>
      </c>
      <c r="V44" s="36">
        <f t="shared" si="7"/>
        <v>30</v>
      </c>
      <c r="W44" s="36" t="str">
        <f t="shared" si="8"/>
        <v>Caja 3</v>
      </c>
    </row>
    <row r="45" spans="1:23" x14ac:dyDescent="0.55000000000000004">
      <c r="A45" s="36" t="s">
        <v>249</v>
      </c>
      <c r="B45" s="36">
        <v>312.75</v>
      </c>
      <c r="C45" s="36">
        <v>14.2</v>
      </c>
      <c r="D45" s="36">
        <v>2.27</v>
      </c>
      <c r="E45" s="36">
        <f t="shared" si="0"/>
        <v>435</v>
      </c>
      <c r="F45" s="36">
        <f t="shared" si="1"/>
        <v>40</v>
      </c>
      <c r="G45" s="36" t="str">
        <f t="shared" si="2"/>
        <v>Caja 7</v>
      </c>
      <c r="H45" s="38"/>
      <c r="I45" s="36" t="s">
        <v>249</v>
      </c>
      <c r="J45" s="36">
        <v>312.75</v>
      </c>
      <c r="K45" s="36">
        <v>14.2</v>
      </c>
      <c r="L45" s="36">
        <v>2.27</v>
      </c>
      <c r="M45" s="36">
        <f t="shared" si="3"/>
        <v>435</v>
      </c>
      <c r="N45" s="36">
        <f t="shared" si="4"/>
        <v>40</v>
      </c>
      <c r="O45" s="36" t="str">
        <f t="shared" si="5"/>
        <v>Caja 7</v>
      </c>
    </row>
    <row r="46" spans="1:23" x14ac:dyDescent="0.55000000000000004">
      <c r="A46" s="36" t="s">
        <v>250</v>
      </c>
      <c r="B46" s="36">
        <v>334.98</v>
      </c>
      <c r="C46" s="36">
        <v>17.5</v>
      </c>
      <c r="D46" s="36">
        <v>2.56</v>
      </c>
      <c r="E46" s="36">
        <f t="shared" si="0"/>
        <v>435</v>
      </c>
      <c r="F46" s="36">
        <f t="shared" si="1"/>
        <v>40</v>
      </c>
      <c r="G46" s="36" t="str">
        <f t="shared" si="2"/>
        <v>Caja 7</v>
      </c>
      <c r="H46" s="38"/>
      <c r="I46" s="36" t="s">
        <v>250</v>
      </c>
      <c r="J46" s="36">
        <v>334.98</v>
      </c>
      <c r="K46" s="36">
        <v>17.5</v>
      </c>
      <c r="L46" s="36">
        <v>2.56</v>
      </c>
      <c r="M46" s="36">
        <f t="shared" si="3"/>
        <v>435</v>
      </c>
      <c r="N46" s="36">
        <f t="shared" si="4"/>
        <v>40</v>
      </c>
      <c r="O46" s="36" t="str">
        <f t="shared" si="5"/>
        <v>Caja 7</v>
      </c>
    </row>
    <row r="47" spans="1:23" x14ac:dyDescent="0.55000000000000004">
      <c r="A47" s="36" t="s">
        <v>251</v>
      </c>
      <c r="B47" s="36">
        <v>339.73</v>
      </c>
      <c r="C47" s="36">
        <v>22.4</v>
      </c>
      <c r="D47" s="36">
        <v>2.56</v>
      </c>
      <c r="E47" s="36">
        <f t="shared" si="0"/>
        <v>435</v>
      </c>
      <c r="F47" s="36">
        <f t="shared" si="1"/>
        <v>40</v>
      </c>
      <c r="G47" s="36" t="str">
        <f t="shared" si="2"/>
        <v>Caja 7</v>
      </c>
      <c r="H47" s="38"/>
      <c r="I47" s="36" t="s">
        <v>251</v>
      </c>
      <c r="J47" s="36">
        <v>339.73</v>
      </c>
      <c r="K47" s="36">
        <v>22.4</v>
      </c>
      <c r="L47" s="36">
        <v>2.56</v>
      </c>
      <c r="M47" s="36">
        <f t="shared" si="3"/>
        <v>435</v>
      </c>
      <c r="N47" s="36">
        <f t="shared" si="4"/>
        <v>40</v>
      </c>
      <c r="O47" s="36" t="str">
        <f t="shared" si="5"/>
        <v>Caja 7</v>
      </c>
    </row>
    <row r="48" spans="1:23" x14ac:dyDescent="0.55000000000000004">
      <c r="A48" s="36" t="s">
        <v>252</v>
      </c>
      <c r="B48" s="36">
        <v>371.47999999999996</v>
      </c>
      <c r="C48" s="36">
        <v>36.6</v>
      </c>
      <c r="D48" s="36">
        <v>2.87</v>
      </c>
      <c r="E48" s="36">
        <f t="shared" si="0"/>
        <v>435</v>
      </c>
      <c r="F48" s="36">
        <f t="shared" si="1"/>
        <v>40</v>
      </c>
      <c r="G48" s="36" t="str">
        <f t="shared" si="2"/>
        <v>Caja 7</v>
      </c>
      <c r="H48" s="38"/>
      <c r="I48" s="36" t="s">
        <v>252</v>
      </c>
      <c r="J48" s="36">
        <v>371.47999999999996</v>
      </c>
      <c r="K48" s="36">
        <v>36.6</v>
      </c>
      <c r="L48" s="36">
        <v>2.87</v>
      </c>
      <c r="M48" s="36">
        <f t="shared" si="3"/>
        <v>435</v>
      </c>
      <c r="N48" s="36">
        <f t="shared" si="4"/>
        <v>40</v>
      </c>
      <c r="O48" s="36" t="str">
        <f t="shared" si="5"/>
        <v>Caja 7</v>
      </c>
    </row>
    <row r="49" spans="1:15" x14ac:dyDescent="0.55000000000000004">
      <c r="A49" s="36" t="s">
        <v>253</v>
      </c>
      <c r="B49" s="36">
        <v>388.95</v>
      </c>
      <c r="C49" s="36">
        <v>14.2</v>
      </c>
      <c r="D49" s="36">
        <v>3.55</v>
      </c>
      <c r="E49" s="36">
        <f t="shared" si="0"/>
        <v>435</v>
      </c>
      <c r="F49" s="36">
        <f t="shared" si="1"/>
        <v>40</v>
      </c>
      <c r="G49" s="36" t="str">
        <f t="shared" si="2"/>
        <v>Caja 7</v>
      </c>
      <c r="H49" s="38"/>
      <c r="I49" s="36" t="s">
        <v>253</v>
      </c>
      <c r="J49" s="36">
        <v>388.95</v>
      </c>
      <c r="K49" s="36">
        <v>14.2</v>
      </c>
      <c r="L49" s="36">
        <v>3.55</v>
      </c>
      <c r="M49" s="36">
        <f t="shared" si="3"/>
        <v>435</v>
      </c>
      <c r="N49" s="36">
        <f t="shared" si="4"/>
        <v>40</v>
      </c>
      <c r="O49" s="36" t="str">
        <f t="shared" si="5"/>
        <v>Caja 7</v>
      </c>
    </row>
    <row r="50" spans="1:15" x14ac:dyDescent="0.55000000000000004">
      <c r="A50" s="36" t="s">
        <v>254</v>
      </c>
      <c r="B50" s="36">
        <v>392.13</v>
      </c>
      <c r="C50" s="36">
        <v>17.5</v>
      </c>
      <c r="D50" s="36">
        <v>3.55</v>
      </c>
      <c r="E50" s="36">
        <f t="shared" si="0"/>
        <v>435</v>
      </c>
      <c r="F50" s="36">
        <f t="shared" si="1"/>
        <v>40</v>
      </c>
      <c r="G50" s="36" t="str">
        <f t="shared" si="2"/>
        <v>Caja 7</v>
      </c>
      <c r="H50" s="38"/>
      <c r="I50" s="36" t="s">
        <v>254</v>
      </c>
      <c r="J50" s="36">
        <v>392.13</v>
      </c>
      <c r="K50" s="36">
        <v>17.5</v>
      </c>
      <c r="L50" s="36">
        <v>3.55</v>
      </c>
      <c r="M50" s="36">
        <f t="shared" si="3"/>
        <v>435</v>
      </c>
      <c r="N50" s="36">
        <f t="shared" si="4"/>
        <v>40</v>
      </c>
      <c r="O50" s="36" t="str">
        <f t="shared" si="5"/>
        <v>Caja 7</v>
      </c>
    </row>
    <row r="51" spans="1:15" x14ac:dyDescent="0.55000000000000004">
      <c r="A51" s="36" t="s">
        <v>255</v>
      </c>
      <c r="B51" s="36">
        <v>403.23</v>
      </c>
      <c r="C51" s="36">
        <v>28.7</v>
      </c>
      <c r="D51" s="36">
        <v>3.55</v>
      </c>
      <c r="E51" s="36">
        <f t="shared" si="0"/>
        <v>435</v>
      </c>
      <c r="F51" s="36">
        <f t="shared" si="1"/>
        <v>40</v>
      </c>
      <c r="G51" s="36" t="str">
        <f t="shared" si="2"/>
        <v>Caja 7</v>
      </c>
      <c r="H51" s="38"/>
      <c r="I51" s="36" t="s">
        <v>255</v>
      </c>
      <c r="J51" s="36">
        <v>403.23</v>
      </c>
      <c r="K51" s="36">
        <v>28.7</v>
      </c>
      <c r="L51" s="36">
        <v>3.55</v>
      </c>
      <c r="M51" s="36">
        <f t="shared" si="3"/>
        <v>435</v>
      </c>
      <c r="N51" s="36">
        <f t="shared" si="4"/>
        <v>40</v>
      </c>
      <c r="O51" s="36" t="str">
        <f t="shared" si="5"/>
        <v>Caja 7</v>
      </c>
    </row>
    <row r="52" spans="1:15" x14ac:dyDescent="0.55000000000000004">
      <c r="A52" s="36" t="s">
        <v>256</v>
      </c>
      <c r="B52" s="36">
        <v>404.83</v>
      </c>
      <c r="C52" s="36">
        <v>14.2</v>
      </c>
      <c r="D52" s="36">
        <v>3.85</v>
      </c>
      <c r="E52" s="36">
        <f t="shared" si="0"/>
        <v>435</v>
      </c>
      <c r="F52" s="36">
        <f t="shared" si="1"/>
        <v>40</v>
      </c>
      <c r="G52" s="36" t="str">
        <f t="shared" si="2"/>
        <v>Caja 7</v>
      </c>
      <c r="H52" s="38"/>
      <c r="I52" s="36" t="s">
        <v>256</v>
      </c>
      <c r="J52" s="36">
        <v>404.83</v>
      </c>
      <c r="K52" s="36">
        <v>14.2</v>
      </c>
      <c r="L52" s="36">
        <v>3.85</v>
      </c>
      <c r="M52" s="36">
        <f t="shared" si="3"/>
        <v>435</v>
      </c>
      <c r="N52" s="36">
        <f t="shared" si="4"/>
        <v>40</v>
      </c>
      <c r="O52" s="36" t="str">
        <f t="shared" si="5"/>
        <v>Caja 7</v>
      </c>
    </row>
    <row r="53" spans="1:15" x14ac:dyDescent="0.55000000000000004">
      <c r="A53" s="36" t="s">
        <v>257</v>
      </c>
      <c r="B53" s="36">
        <v>438.15</v>
      </c>
      <c r="C53" s="36">
        <v>39.6</v>
      </c>
      <c r="D53" s="36">
        <v>4.04</v>
      </c>
      <c r="E53" s="36">
        <f t="shared" si="0"/>
        <v>510</v>
      </c>
      <c r="F53" s="36">
        <f t="shared" si="1"/>
        <v>40</v>
      </c>
      <c r="G53" s="36" t="str">
        <f t="shared" si="2"/>
        <v>Caja 8</v>
      </c>
      <c r="H53" s="38"/>
      <c r="I53" s="36" t="s">
        <v>257</v>
      </c>
      <c r="J53" s="36">
        <v>438.15</v>
      </c>
      <c r="K53" s="36">
        <v>39.6</v>
      </c>
      <c r="L53" s="36">
        <v>4.04</v>
      </c>
      <c r="M53" s="36">
        <f t="shared" si="3"/>
        <v>510</v>
      </c>
      <c r="N53" s="36">
        <f t="shared" si="4"/>
        <v>40</v>
      </c>
      <c r="O53" s="36" t="str">
        <f t="shared" si="5"/>
        <v>Caja 8</v>
      </c>
    </row>
    <row r="54" spans="1:15" x14ac:dyDescent="0.55000000000000004">
      <c r="A54" s="36" t="s">
        <v>258</v>
      </c>
      <c r="B54" s="36">
        <v>430.23</v>
      </c>
      <c r="C54" s="36">
        <v>17.5</v>
      </c>
      <c r="D54" s="36">
        <v>4.3</v>
      </c>
      <c r="E54" s="36">
        <f t="shared" si="0"/>
        <v>435</v>
      </c>
      <c r="F54" s="36">
        <f t="shared" si="1"/>
        <v>40</v>
      </c>
      <c r="G54" s="36" t="str">
        <f t="shared" si="2"/>
        <v>Caja 7</v>
      </c>
      <c r="H54" s="38"/>
      <c r="I54" s="36" t="s">
        <v>258</v>
      </c>
      <c r="J54" s="36">
        <v>430.23</v>
      </c>
      <c r="K54" s="36">
        <v>17.5</v>
      </c>
      <c r="L54" s="36">
        <v>4.3</v>
      </c>
      <c r="M54" s="36">
        <f t="shared" si="3"/>
        <v>435</v>
      </c>
      <c r="N54" s="36">
        <f t="shared" si="4"/>
        <v>40</v>
      </c>
      <c r="O54" s="36" t="str">
        <f t="shared" si="5"/>
        <v>Caja 7</v>
      </c>
    </row>
    <row r="55" spans="1:15" x14ac:dyDescent="0.55000000000000004">
      <c r="A55" s="36" t="s">
        <v>259</v>
      </c>
      <c r="B55" s="36">
        <v>434.98</v>
      </c>
      <c r="C55" s="36">
        <v>22.4</v>
      </c>
      <c r="D55" s="36">
        <v>4.3</v>
      </c>
      <c r="E55" s="36">
        <f t="shared" si="0"/>
        <v>435</v>
      </c>
      <c r="F55" s="36">
        <f t="shared" si="1"/>
        <v>40</v>
      </c>
      <c r="G55" s="36" t="str">
        <f t="shared" si="2"/>
        <v>Caja 7</v>
      </c>
      <c r="H55" s="38"/>
      <c r="I55" s="36" t="s">
        <v>259</v>
      </c>
      <c r="J55" s="36">
        <v>434.98</v>
      </c>
      <c r="K55" s="36">
        <v>22.4</v>
      </c>
      <c r="L55" s="36">
        <v>4.3</v>
      </c>
      <c r="M55" s="36">
        <f t="shared" si="3"/>
        <v>435</v>
      </c>
      <c r="N55" s="36">
        <f t="shared" si="4"/>
        <v>40</v>
      </c>
      <c r="O55" s="36" t="str">
        <f t="shared" si="5"/>
        <v>Caja 7</v>
      </c>
    </row>
    <row r="56" spans="1:15" x14ac:dyDescent="0.55000000000000004">
      <c r="A56" s="36" t="s">
        <v>260</v>
      </c>
      <c r="B56" s="36">
        <v>444.5</v>
      </c>
      <c r="C56" s="36">
        <v>33.299999999999997</v>
      </c>
      <c r="D56" s="36">
        <v>4.3</v>
      </c>
      <c r="E56" s="36">
        <f t="shared" si="0"/>
        <v>510</v>
      </c>
      <c r="F56" s="36">
        <f t="shared" si="1"/>
        <v>40</v>
      </c>
      <c r="G56" s="36" t="str">
        <f t="shared" si="2"/>
        <v>Caja 8</v>
      </c>
      <c r="H56" s="38"/>
      <c r="I56" s="36" t="s">
        <v>260</v>
      </c>
      <c r="J56" s="36">
        <v>444.5</v>
      </c>
      <c r="K56" s="36">
        <v>33.299999999999997</v>
      </c>
      <c r="L56" s="36">
        <v>4.3</v>
      </c>
      <c r="M56" s="36">
        <f t="shared" si="3"/>
        <v>510</v>
      </c>
      <c r="N56" s="36">
        <f t="shared" si="4"/>
        <v>40</v>
      </c>
      <c r="O56" s="36" t="str">
        <f t="shared" si="5"/>
        <v>Caja 8</v>
      </c>
    </row>
    <row r="57" spans="1:15" x14ac:dyDescent="0.55000000000000004">
      <c r="A57" s="36" t="s">
        <v>261</v>
      </c>
      <c r="B57" s="36">
        <v>461.97999999999996</v>
      </c>
      <c r="C57" s="36">
        <v>14.2</v>
      </c>
      <c r="D57" s="36">
        <v>5.04</v>
      </c>
      <c r="E57" s="36">
        <f t="shared" si="0"/>
        <v>510</v>
      </c>
      <c r="F57" s="36">
        <f t="shared" si="1"/>
        <v>40</v>
      </c>
      <c r="G57" s="36" t="str">
        <f t="shared" si="2"/>
        <v>Caja 8</v>
      </c>
      <c r="H57" s="38"/>
      <c r="I57" s="36" t="s">
        <v>261</v>
      </c>
      <c r="J57" s="36">
        <v>461.97999999999996</v>
      </c>
      <c r="K57" s="36">
        <v>14.2</v>
      </c>
      <c r="L57" s="36">
        <v>5.04</v>
      </c>
      <c r="M57" s="36">
        <f t="shared" si="3"/>
        <v>510</v>
      </c>
      <c r="N57" s="36">
        <f t="shared" si="4"/>
        <v>40</v>
      </c>
      <c r="O57" s="36" t="str">
        <f t="shared" si="5"/>
        <v>Caja 8</v>
      </c>
    </row>
    <row r="58" spans="1:15" x14ac:dyDescent="0.55000000000000004">
      <c r="A58" s="36" t="s">
        <v>262</v>
      </c>
      <c r="B58" s="36">
        <v>481.03</v>
      </c>
      <c r="C58" s="36">
        <v>17.5</v>
      </c>
      <c r="D58" s="36">
        <v>5.4</v>
      </c>
      <c r="E58" s="36">
        <f t="shared" si="0"/>
        <v>510</v>
      </c>
      <c r="F58" s="36">
        <f t="shared" si="1"/>
        <v>40</v>
      </c>
      <c r="G58" s="36" t="str">
        <f t="shared" si="2"/>
        <v>Caja 8</v>
      </c>
      <c r="H58" s="38"/>
      <c r="I58" s="36" t="s">
        <v>262</v>
      </c>
      <c r="J58" s="36">
        <v>481.03</v>
      </c>
      <c r="K58" s="36">
        <v>17.5</v>
      </c>
      <c r="L58" s="36">
        <v>5.4</v>
      </c>
      <c r="M58" s="36">
        <f t="shared" si="3"/>
        <v>510</v>
      </c>
      <c r="N58" s="36">
        <f t="shared" si="4"/>
        <v>40</v>
      </c>
      <c r="O58" s="36" t="str">
        <f t="shared" si="5"/>
        <v>Caja 8</v>
      </c>
    </row>
    <row r="59" spans="1:15" x14ac:dyDescent="0.55000000000000004">
      <c r="A59" s="36" t="s">
        <v>263</v>
      </c>
      <c r="B59" s="36">
        <v>485.78</v>
      </c>
      <c r="C59" s="36">
        <v>22.4</v>
      </c>
      <c r="D59" s="36">
        <v>5.4</v>
      </c>
      <c r="E59" s="36">
        <f t="shared" si="0"/>
        <v>510</v>
      </c>
      <c r="F59" s="36">
        <f t="shared" si="1"/>
        <v>40</v>
      </c>
      <c r="G59" s="36" t="str">
        <f t="shared" si="2"/>
        <v>Caja 8</v>
      </c>
      <c r="H59" s="38"/>
      <c r="I59" s="36" t="s">
        <v>263</v>
      </c>
      <c r="J59" s="36">
        <v>485.78</v>
      </c>
      <c r="K59" s="36">
        <v>22.4</v>
      </c>
      <c r="L59" s="36">
        <v>5.4</v>
      </c>
      <c r="M59" s="36">
        <f t="shared" si="3"/>
        <v>510</v>
      </c>
      <c r="N59" s="36">
        <f t="shared" si="4"/>
        <v>40</v>
      </c>
      <c r="O59" s="36" t="str">
        <f t="shared" si="5"/>
        <v>Caja 8</v>
      </c>
    </row>
    <row r="60" spans="1:15" x14ac:dyDescent="0.55000000000000004">
      <c r="A60" s="36" t="s">
        <v>264</v>
      </c>
      <c r="B60" s="36">
        <v>498.47999999999996</v>
      </c>
      <c r="C60" s="36">
        <v>36.6</v>
      </c>
      <c r="D60" s="36">
        <v>5.4</v>
      </c>
      <c r="E60" s="36">
        <f t="shared" si="0"/>
        <v>510</v>
      </c>
      <c r="F60" s="36">
        <f t="shared" si="1"/>
        <v>40</v>
      </c>
      <c r="G60" s="36" t="str">
        <f t="shared" si="2"/>
        <v>Caja 8</v>
      </c>
      <c r="H60" s="38"/>
      <c r="I60" s="36" t="s">
        <v>264</v>
      </c>
      <c r="J60" s="36">
        <v>498.47999999999996</v>
      </c>
      <c r="K60" s="36">
        <v>36.6</v>
      </c>
      <c r="L60" s="36">
        <v>5.4</v>
      </c>
      <c r="M60" s="36">
        <f t="shared" si="3"/>
        <v>510</v>
      </c>
      <c r="N60" s="36">
        <f t="shared" si="4"/>
        <v>40</v>
      </c>
      <c r="O60" s="36" t="str">
        <f t="shared" si="5"/>
        <v>Caja 8</v>
      </c>
    </row>
    <row r="61" spans="1:15" x14ac:dyDescent="0.55000000000000004">
      <c r="A61" s="36" t="s">
        <v>265</v>
      </c>
      <c r="B61" s="36">
        <v>525.48</v>
      </c>
      <c r="C61" s="36">
        <v>14.2</v>
      </c>
      <c r="D61" s="36">
        <v>6.55</v>
      </c>
      <c r="E61" s="36">
        <f t="shared" si="0"/>
        <v>640</v>
      </c>
      <c r="F61" s="36">
        <f t="shared" si="1"/>
        <v>40</v>
      </c>
      <c r="G61" s="36" t="str">
        <f t="shared" si="2"/>
        <v>Caja 9</v>
      </c>
      <c r="H61" s="38"/>
      <c r="I61" s="36" t="s">
        <v>265</v>
      </c>
      <c r="J61" s="36">
        <v>525.48</v>
      </c>
      <c r="K61" s="36">
        <v>14.2</v>
      </c>
      <c r="L61" s="36">
        <v>6.55</v>
      </c>
      <c r="M61" s="36">
        <f t="shared" si="3"/>
        <v>640</v>
      </c>
      <c r="N61" s="36">
        <f t="shared" si="4"/>
        <v>40</v>
      </c>
      <c r="O61" s="36" t="str">
        <f t="shared" si="5"/>
        <v>Caja 9</v>
      </c>
    </row>
    <row r="62" spans="1:15" x14ac:dyDescent="0.55000000000000004">
      <c r="A62" s="36" t="s">
        <v>266</v>
      </c>
      <c r="B62" s="36">
        <v>544.53</v>
      </c>
      <c r="C62" s="36">
        <v>17.5</v>
      </c>
      <c r="D62" s="36">
        <v>6.96</v>
      </c>
      <c r="E62" s="36">
        <f t="shared" si="0"/>
        <v>640</v>
      </c>
      <c r="F62" s="36">
        <f t="shared" si="1"/>
        <v>40</v>
      </c>
      <c r="G62" s="36" t="str">
        <f t="shared" si="2"/>
        <v>Caja 9</v>
      </c>
      <c r="H62" s="38"/>
      <c r="I62" s="36" t="s">
        <v>266</v>
      </c>
      <c r="J62" s="36">
        <v>544.53</v>
      </c>
      <c r="K62" s="36">
        <v>17.5</v>
      </c>
      <c r="L62" s="36">
        <v>6.96</v>
      </c>
      <c r="M62" s="36">
        <f t="shared" si="3"/>
        <v>640</v>
      </c>
      <c r="N62" s="36">
        <f t="shared" si="4"/>
        <v>40</v>
      </c>
      <c r="O62" s="36" t="str">
        <f t="shared" si="5"/>
        <v>Caja 9</v>
      </c>
    </row>
    <row r="63" spans="1:15" x14ac:dyDescent="0.55000000000000004">
      <c r="A63" s="36" t="s">
        <v>267</v>
      </c>
      <c r="B63" s="36">
        <v>552.44999999999993</v>
      </c>
      <c r="C63" s="36">
        <v>25.4</v>
      </c>
      <c r="D63" s="36">
        <v>6.96</v>
      </c>
      <c r="E63" s="36">
        <f t="shared" si="0"/>
        <v>640</v>
      </c>
      <c r="F63" s="36">
        <f t="shared" si="1"/>
        <v>40</v>
      </c>
      <c r="G63" s="36" t="str">
        <f t="shared" si="2"/>
        <v>Caja 9</v>
      </c>
      <c r="H63" s="38"/>
      <c r="I63" s="36" t="s">
        <v>267</v>
      </c>
      <c r="J63" s="36">
        <v>552.44999999999993</v>
      </c>
      <c r="K63" s="36">
        <v>25.4</v>
      </c>
      <c r="L63" s="36">
        <v>6.96</v>
      </c>
      <c r="M63" s="36">
        <f t="shared" si="3"/>
        <v>640</v>
      </c>
      <c r="N63" s="36">
        <f t="shared" si="4"/>
        <v>40</v>
      </c>
      <c r="O63" s="36" t="str">
        <f t="shared" si="5"/>
        <v>Caja 9</v>
      </c>
    </row>
    <row r="64" spans="1:15" x14ac:dyDescent="0.55000000000000004">
      <c r="A64" s="36" t="s">
        <v>268</v>
      </c>
      <c r="B64" s="36">
        <v>561.98</v>
      </c>
      <c r="C64" s="36">
        <v>36.6</v>
      </c>
      <c r="D64" s="36">
        <v>6.96</v>
      </c>
      <c r="E64" s="36">
        <f t="shared" si="0"/>
        <v>640</v>
      </c>
      <c r="F64" s="36">
        <f t="shared" si="1"/>
        <v>40</v>
      </c>
      <c r="G64" s="36" t="str">
        <f t="shared" si="2"/>
        <v>Caja 9</v>
      </c>
      <c r="H64" s="38"/>
      <c r="I64" s="36" t="s">
        <v>268</v>
      </c>
      <c r="J64" s="36">
        <v>561.98</v>
      </c>
      <c r="K64" s="36">
        <v>36.6</v>
      </c>
      <c r="L64" s="36">
        <v>6.96</v>
      </c>
      <c r="M64" s="36">
        <f t="shared" si="3"/>
        <v>640</v>
      </c>
      <c r="N64" s="36">
        <f t="shared" si="4"/>
        <v>40</v>
      </c>
      <c r="O64" s="36" t="str">
        <f t="shared" si="5"/>
        <v>Caja 9</v>
      </c>
    </row>
    <row r="65" spans="1:15" x14ac:dyDescent="0.55000000000000004">
      <c r="A65" s="36" t="s">
        <v>269</v>
      </c>
      <c r="B65" s="36">
        <v>566.75</v>
      </c>
      <c r="C65" s="36">
        <v>14.2</v>
      </c>
      <c r="D65" s="36">
        <v>7.64</v>
      </c>
      <c r="E65" s="36">
        <f t="shared" si="0"/>
        <v>640</v>
      </c>
      <c r="F65" s="36">
        <f t="shared" si="1"/>
        <v>40</v>
      </c>
      <c r="G65" s="36" t="str">
        <f t="shared" si="2"/>
        <v>Caja 9</v>
      </c>
      <c r="H65" s="38"/>
      <c r="I65" s="36" t="s">
        <v>269</v>
      </c>
      <c r="J65" s="36">
        <v>566.75</v>
      </c>
      <c r="K65" s="36">
        <v>14.2</v>
      </c>
      <c r="L65" s="36">
        <v>7.64</v>
      </c>
      <c r="M65" s="36">
        <f t="shared" si="3"/>
        <v>640</v>
      </c>
      <c r="N65" s="36">
        <f t="shared" si="4"/>
        <v>40</v>
      </c>
      <c r="O65" s="36" t="str">
        <f t="shared" si="5"/>
        <v>Caja 9</v>
      </c>
    </row>
    <row r="66" spans="1:15" x14ac:dyDescent="0.55000000000000004">
      <c r="A66" s="36" t="s">
        <v>270</v>
      </c>
      <c r="B66" s="36">
        <v>596.90000000000009</v>
      </c>
      <c r="C66" s="36">
        <v>19.05</v>
      </c>
      <c r="D66" s="36">
        <v>8.35</v>
      </c>
      <c r="E66" s="36">
        <f t="shared" si="0"/>
        <v>640</v>
      </c>
      <c r="F66" s="36">
        <f t="shared" si="1"/>
        <v>40</v>
      </c>
      <c r="G66" s="36" t="str">
        <f t="shared" si="2"/>
        <v>Caja 9</v>
      </c>
      <c r="H66" s="38"/>
      <c r="I66" s="36" t="s">
        <v>270</v>
      </c>
      <c r="J66" s="36">
        <v>596.90000000000009</v>
      </c>
      <c r="K66" s="36">
        <v>19.05</v>
      </c>
      <c r="L66" s="36">
        <v>8.35</v>
      </c>
      <c r="M66" s="36">
        <f t="shared" si="3"/>
        <v>640</v>
      </c>
      <c r="N66" s="36">
        <f t="shared" si="4"/>
        <v>40</v>
      </c>
      <c r="O66" s="36" t="str">
        <f t="shared" si="5"/>
        <v>Caja 9</v>
      </c>
    </row>
    <row r="67" spans="1:15" x14ac:dyDescent="0.55000000000000004">
      <c r="A67" s="36" t="s">
        <v>271</v>
      </c>
      <c r="B67" s="36">
        <v>603.25</v>
      </c>
      <c r="C67" s="36">
        <v>25.4</v>
      </c>
      <c r="D67" s="36">
        <v>8.35</v>
      </c>
      <c r="E67" s="36">
        <f t="shared" si="0"/>
        <v>640</v>
      </c>
      <c r="F67" s="36">
        <f t="shared" si="1"/>
        <v>40</v>
      </c>
      <c r="G67" s="36" t="str">
        <f t="shared" si="2"/>
        <v>Caja 9</v>
      </c>
      <c r="H67" s="38"/>
      <c r="I67" s="36" t="s">
        <v>271</v>
      </c>
      <c r="J67" s="36">
        <v>603.25</v>
      </c>
      <c r="K67" s="36">
        <v>25.4</v>
      </c>
      <c r="L67" s="36">
        <v>8.35</v>
      </c>
      <c r="M67" s="36">
        <f t="shared" si="3"/>
        <v>640</v>
      </c>
      <c r="N67" s="36">
        <f t="shared" si="4"/>
        <v>40</v>
      </c>
      <c r="O67" s="36" t="str">
        <f t="shared" si="5"/>
        <v>Caja 9</v>
      </c>
    </row>
    <row r="68" spans="1:15" x14ac:dyDescent="0.55000000000000004">
      <c r="A68" s="36" t="s">
        <v>272</v>
      </c>
      <c r="B68" s="36">
        <v>615.95000000000005</v>
      </c>
      <c r="C68" s="36">
        <v>39.6</v>
      </c>
      <c r="D68" s="36">
        <v>8.35</v>
      </c>
      <c r="E68" s="36">
        <f t="shared" si="0"/>
        <v>640</v>
      </c>
      <c r="F68" s="36">
        <f t="shared" si="1"/>
        <v>40</v>
      </c>
      <c r="G68" s="36" t="str">
        <f t="shared" si="2"/>
        <v>Caja 9</v>
      </c>
      <c r="H68" s="38"/>
      <c r="I68" s="36" t="s">
        <v>272</v>
      </c>
      <c r="J68" s="36">
        <v>615.95000000000005</v>
      </c>
      <c r="K68" s="36">
        <v>39.6</v>
      </c>
      <c r="L68" s="36">
        <v>8.35</v>
      </c>
      <c r="M68" s="36">
        <f t="shared" si="3"/>
        <v>640</v>
      </c>
      <c r="N68" s="36">
        <f t="shared" si="4"/>
        <v>40</v>
      </c>
      <c r="O68" s="36" t="str">
        <f t="shared" si="5"/>
        <v>Caja 9</v>
      </c>
    </row>
    <row r="69" spans="1:15" x14ac:dyDescent="0.55000000000000004">
      <c r="A69" s="36" t="s">
        <v>273</v>
      </c>
      <c r="B69" s="36">
        <v>681.05000000000007</v>
      </c>
      <c r="C69" s="36">
        <v>14.2</v>
      </c>
      <c r="D69" s="36">
        <v>11.09</v>
      </c>
      <c r="E69" s="36">
        <f>IF(B69&lt;=$AH$4,$AH$4,IF(B69&lt;=$AH$5,$AH$5,IF(B69&lt;=$AH$6,$AH$6,IF(B69&lt;=$AH$7,$AH$7,IF(B69&lt;=$AH$8,$AH$8,IF(B69&lt;=$AH$9,$AH$9,IF(B69&lt;=$AH$10,$AH$10,IF(B69&lt;=$AH$11,$AH$11,IF(B69&lt;=$AH$12,$AH$12,IF(B69&lt;=$AH$13,$AH$13,IF(B69&lt;=$AH$14,$AH$14,"")))))))))))</f>
        <v>1000</v>
      </c>
      <c r="F69" s="36">
        <f>IF(B69&lt;=$AH$4,$AI$4,IF(B69&lt;=$AH$5,$AI$5,IF(B69&lt;=$AH$6,$AI$6,IF(B69&lt;=$AH$7,$AI$7,IF(B69&lt;=$AH$8,$AI$8,IF(B69&lt;=$AH$9,$AI$9,IF(B69&lt;=$AH$10,$AI$10,IF(B69&lt;=$AH$11,$AI$11,IF(B69&lt;=$AH$12,$AI$12,IF(B69&lt;=$AH$13,$AI$13,IF(B69&lt;=$AH$14,$AI$14,"")))))))))))</f>
        <v>40</v>
      </c>
      <c r="G69" s="36" t="str">
        <f>IF(B69&lt;=$AH$4,$AG$4,IF(B69&lt;=$AH$5,$AG$5,IF(B69&lt;=$AH$6,$AG$6,IF(B69&lt;=$AH$7,$AG$7,IF(B69&lt;=$AH$8,$AG$8,IF(B69&lt;=$AH$9,$AG$9,IF(B69&lt;=$AH$10,$AG$10,IF(B69&lt;=$AH$11,$AG$11,IF(B69&lt;=$AH$12,$AG$12,IF(B69&lt;=$AH$13,$AG$13,IF(B69&lt;=$AH$14,$AG$14,"")))))))))))</f>
        <v>Caja 10</v>
      </c>
      <c r="H69" s="38"/>
      <c r="I69" s="36" t="s">
        <v>273</v>
      </c>
      <c r="J69" s="36">
        <v>681.05000000000007</v>
      </c>
      <c r="K69" s="36">
        <v>14.2</v>
      </c>
      <c r="L69" s="36">
        <v>11.09</v>
      </c>
      <c r="M69" s="36">
        <f t="shared" ref="M69:M97" si="12">IF(J69&lt;=$AH$4,$AH$4,IF(J69&lt;=$AH$5,$AH$5,IF(J69&lt;=$AH$6,$AH$6,IF(J69&lt;=$AH$7,$AH$7,IF(J69&lt;=$AH$8,$AH$8,IF(J69&lt;=$AH$9,$AH$9,IF(J69&lt;=$AH$10,$AH$10,IF(J69&lt;=$AH$11,$AH$11,IF(J69&lt;=$AH$12,$AH$12,IF(J69&lt;=$AH$13,$AH$13,IF(J69&lt;=$AH$14,$AH$14,"")))))))))))</f>
        <v>1000</v>
      </c>
      <c r="N69" s="36">
        <f t="shared" ref="N69:N97" si="13">IF(J69&lt;=$AH$4,$AI$4,IF(J69&lt;=$AH$5,$AI$5,IF(J69&lt;=$AH$6,$AI$6,IF(J69&lt;=$AH$7,$AI$7,IF(J69&lt;=$AH$8,$AI$8,IF(J69&lt;=$AH$9,$AI$9,IF(J69&lt;=$AH$10,$AI$10,IF(J69&lt;=$AH$11,$AI$11,IF(J69&lt;=$AH$12,$AI$12,IF(J69&lt;=$AH$13,$AI$13,IF(J69&lt;=$AH$14,$AI$14,"")))))))))))</f>
        <v>40</v>
      </c>
      <c r="O69" s="36" t="str">
        <f t="shared" ref="O69:O97" si="14">IF(J69&lt;=$AH$4,$AG$4,IF(J69&lt;=$AH$5,$AG$5,IF(J69&lt;=$AH$6,$AG$6,IF(J69&lt;=$AH$7,$AG$7,IF(J69&lt;=$AH$8,$AG$8,IF(J69&lt;=$AH$9,$AG$9,IF(J69&lt;=$AH$10,$AG$10,IF(J69&lt;=$AH$11,$AG$11,IF(J69&lt;=$AH$12,$AG$12,IF(J69&lt;=$AH$13,$AG$13,IF(J69&lt;=$AH$14,$AG$14,"")))))))))))</f>
        <v>Caja 10</v>
      </c>
    </row>
    <row r="70" spans="1:15" x14ac:dyDescent="0.55000000000000004">
      <c r="A70" s="36" t="s">
        <v>274</v>
      </c>
      <c r="B70" s="36">
        <v>708.03</v>
      </c>
      <c r="C70" s="36">
        <v>22.4</v>
      </c>
      <c r="D70" s="36">
        <v>11.73</v>
      </c>
      <c r="E70" s="36">
        <f>IF(B70&lt;=$AH$4,$AH$4,IF(B70&lt;=$AH$5,$AH$5,IF(B70&lt;=$AH$6,$AH$6,IF(B70&lt;=$AH$7,$AH$7,IF(B70&lt;=$AH$8,$AH$8,IF(B70&lt;=$AH$9,$AH$9,IF(B70&lt;=$AH$10,$AH$10,IF(B70&lt;=$AH$11,$AH$11,IF(B70&lt;=$AH$12,$AH$12,IF(B70&lt;=$AH$13,$AH$13,IF(B70&lt;=$AH$14,$AH$14,"")))))))))))</f>
        <v>1000</v>
      </c>
      <c r="F70" s="36">
        <f>IF(B70&lt;=$AH$4,$AI$4,IF(B70&lt;=$AH$5,$AI$5,IF(B70&lt;=$AH$6,$AI$6,IF(B70&lt;=$AH$7,$AI$7,IF(B70&lt;=$AH$8,$AI$8,IF(B70&lt;=$AH$9,$AI$9,IF(B70&lt;=$AH$10,$AI$10,IF(B70&lt;=$AH$11,$AI$11,IF(B70&lt;=$AH$12,$AI$12,IF(B70&lt;=$AH$13,$AI$13,IF(B70&lt;=$AH$14,$AI$14,"")))))))))))</f>
        <v>40</v>
      </c>
      <c r="G70" s="36" t="str">
        <f>IF(B70&lt;=$AH$4,$AG$4,IF(B70&lt;=$AH$5,$AG$5,IF(B70&lt;=$AH$6,$AG$6,IF(B70&lt;=$AH$7,$AG$7,IF(B70&lt;=$AH$8,$AG$8,IF(B70&lt;=$AH$9,$AG$9,IF(B70&lt;=$AH$10,$AG$10,IF(B70&lt;=$AH$11,$AG$11,IF(B70&lt;=$AH$12,$AG$12,IF(B70&lt;=$AH$13,$AG$13,IF(B70&lt;=$AH$14,$AG$14,"")))))))))))</f>
        <v>Caja 10</v>
      </c>
      <c r="H70" s="38"/>
      <c r="I70" s="36" t="s">
        <v>274</v>
      </c>
      <c r="J70" s="36">
        <v>708.03</v>
      </c>
      <c r="K70" s="36">
        <v>22.4</v>
      </c>
      <c r="L70" s="36">
        <v>11.73</v>
      </c>
      <c r="M70" s="36">
        <f t="shared" si="12"/>
        <v>1000</v>
      </c>
      <c r="N70" s="36">
        <f t="shared" si="13"/>
        <v>40</v>
      </c>
      <c r="O70" s="36" t="str">
        <f t="shared" si="14"/>
        <v>Caja 10</v>
      </c>
    </row>
    <row r="71" spans="1:15" x14ac:dyDescent="0.55000000000000004">
      <c r="A71" s="36" t="s">
        <v>275</v>
      </c>
      <c r="B71" s="36">
        <v>717.55</v>
      </c>
      <c r="C71" s="36">
        <v>33.299999999999997</v>
      </c>
      <c r="D71" s="36">
        <v>11.73</v>
      </c>
      <c r="E71" s="36">
        <f>IF(B71&lt;=$AH$4,$AH$4,IF(B71&lt;=$AH$5,$AH$5,IF(B71&lt;=$AH$6,$AH$6,IF(B71&lt;=$AH$7,$AH$7,IF(B71&lt;=$AH$8,$AH$8,IF(B71&lt;=$AH$9,$AH$9,IF(B71&lt;=$AH$10,$AH$10,IF(B71&lt;=$AH$11,$AH$11,IF(B71&lt;=$AH$12,$AH$12,IF(B71&lt;=$AH$13,$AH$13,IF(B71&lt;=$AH$14,$AH$14,"")))))))))))</f>
        <v>1000</v>
      </c>
      <c r="F71" s="36">
        <f>IF(B71&lt;=$AH$4,$AI$4,IF(B71&lt;=$AH$5,$AI$5,IF(B71&lt;=$AH$6,$AI$6,IF(B71&lt;=$AH$7,$AI$7,IF(B71&lt;=$AH$8,$AI$8,IF(B71&lt;=$AH$9,$AI$9,IF(B71&lt;=$AH$10,$AI$10,IF(B71&lt;=$AH$11,$AI$11,IF(B71&lt;=$AH$12,$AI$12,IF(B71&lt;=$AH$13,$AI$13,IF(B71&lt;=$AH$14,$AI$14,"")))))))))))</f>
        <v>40</v>
      </c>
      <c r="G71" s="36" t="str">
        <f>IF(B71&lt;=$AH$4,$AG$4,IF(B71&lt;=$AH$5,$AG$5,IF(B71&lt;=$AH$6,$AG$6,IF(B71&lt;=$AH$7,$AG$7,IF(B71&lt;=$AH$8,$AG$8,IF(B71&lt;=$AH$9,$AG$9,IF(B71&lt;=$AH$10,$AG$10,IF(B71&lt;=$AH$11,$AG$11,IF(B71&lt;=$AH$12,$AG$12,IF(B71&lt;=$AH$13,$AG$13,IF(B71&lt;=$AH$14,$AG$14,"")))))))))))</f>
        <v>Caja 10</v>
      </c>
      <c r="H71" s="38"/>
      <c r="I71" s="36" t="s">
        <v>275</v>
      </c>
      <c r="J71" s="36">
        <v>717.55</v>
      </c>
      <c r="K71" s="36">
        <v>33.299999999999997</v>
      </c>
      <c r="L71" s="36">
        <v>11.73</v>
      </c>
      <c r="M71" s="36">
        <f t="shared" si="12"/>
        <v>1000</v>
      </c>
      <c r="N71" s="36">
        <f t="shared" si="13"/>
        <v>40</v>
      </c>
      <c r="O71" s="36" t="str">
        <f t="shared" si="14"/>
        <v>Caja 10</v>
      </c>
    </row>
    <row r="72" spans="1:15" x14ac:dyDescent="0.55000000000000004">
      <c r="A72" s="36" t="s">
        <v>276</v>
      </c>
      <c r="B72" s="36">
        <v>727.07999999999993</v>
      </c>
      <c r="C72" s="36">
        <v>44.5</v>
      </c>
      <c r="D72" s="36">
        <v>11.73</v>
      </c>
      <c r="E72" s="36">
        <f>IF(B72&lt;=$AH$4,$AH$4,IF(B72&lt;=$AH$5,$AH$5,IF(B72&lt;=$AH$6,$AH$6,IF(B72&lt;=$AH$7,$AH$7,IF(B72&lt;=$AH$8,$AH$8,IF(B72&lt;=$AH$9,$AH$9,IF(B72&lt;=$AH$10,$AH$10,IF(B72&lt;=$AH$11,$AH$11,IF(B72&lt;=$AH$12,$AH$12,IF(B72&lt;=$AH$13,$AH$13,IF(B72&lt;=$AH$14,$AH$14,"")))))))))))</f>
        <v>1000</v>
      </c>
      <c r="F72" s="36">
        <f>IF(B72&lt;=$AH$4,$AI$4,IF(B72&lt;=$AH$5,$AI$5,IF(B72&lt;=$AH$6,$AI$6,IF(B72&lt;=$AH$7,$AI$7,IF(B72&lt;=$AH$8,$AI$8,IF(B72&lt;=$AH$9,$AI$9,IF(B72&lt;=$AH$10,$AI$10,IF(B72&lt;=$AH$11,$AI$11,IF(B72&lt;=$AH$12,$AI$12,IF(B72&lt;=$AH$13,$AI$13,IF(B72&lt;=$AH$14,$AI$14,"")))))))))))</f>
        <v>40</v>
      </c>
      <c r="G72" s="36" t="str">
        <f>IF(B72&lt;=$AH$4,$AG$4,IF(B72&lt;=$AH$5,$AG$5,IF(B72&lt;=$AH$6,$AG$6,IF(B72&lt;=$AH$7,$AG$7,IF(B72&lt;=$AH$8,$AG$8,IF(B72&lt;=$AH$9,$AG$9,IF(B72&lt;=$AH$10,$AG$10,IF(B72&lt;=$AH$11,$AG$11,IF(B72&lt;=$AH$12,$AG$12,IF(B72&lt;=$AH$13,$AG$13,IF(B72&lt;=$AH$14,$AG$14,"")))))))))))</f>
        <v>Caja 10</v>
      </c>
      <c r="H72" s="38"/>
      <c r="I72" s="36" t="s">
        <v>276</v>
      </c>
      <c r="J72" s="36">
        <v>727.07999999999993</v>
      </c>
      <c r="K72" s="36">
        <v>44.5</v>
      </c>
      <c r="L72" s="36">
        <v>11.73</v>
      </c>
      <c r="M72" s="36">
        <f t="shared" si="12"/>
        <v>1000</v>
      </c>
      <c r="N72" s="36">
        <f t="shared" si="13"/>
        <v>40</v>
      </c>
      <c r="O72" s="36" t="str">
        <f t="shared" si="14"/>
        <v>Caja 10</v>
      </c>
    </row>
    <row r="73" spans="1:15" x14ac:dyDescent="0.55000000000000004">
      <c r="A73" s="36" t="s">
        <v>288</v>
      </c>
      <c r="B73" s="36">
        <v>239.73</v>
      </c>
      <c r="C73" s="36">
        <v>17.5</v>
      </c>
      <c r="D73" s="36">
        <v>1.27</v>
      </c>
      <c r="E73" s="36">
        <f>IF(B73&lt;=$AH$4,$AH$4,IF(B73&lt;=$AH$5,$AH$5,IF(B73&lt;=$AH$6,$AH$6,IF(B73&lt;=$AH$7,$AH$7,IF(B73&lt;=$AH$8,$AH$8,IF(B73&lt;=$AH$9,$AH$9,IF(B73&lt;=$AH$10,$AH$10,IF(B73&lt;=$AH$11,$AH$11,IF(B73&lt;=$AH$12,$AH$12,IF(B73&lt;=$AH$13,$AH$13,IF(B73&lt;=$AH$14,$AH$14,"")))))))))))</f>
        <v>240</v>
      </c>
      <c r="F73" s="36">
        <f>IF(B73&lt;=$AH$4,$AI$4,IF(B73&lt;=$AH$5,$AI$5,IF(B73&lt;=$AH$6,$AI$6,IF(B73&lt;=$AH$7,$AI$7,IF(B73&lt;=$AH$8,$AI$8,IF(B73&lt;=$AH$9,$AI$9,IF(B73&lt;=$AH$10,$AI$10,IF(B73&lt;=$AH$11,$AI$11,IF(B73&lt;=$AH$12,$AI$12,IF(B73&lt;=$AH$13,$AI$13,IF(B73&lt;=$AH$14,$AI$14,"")))))))))))</f>
        <v>30</v>
      </c>
      <c r="G73" s="36" t="str">
        <f>IF(B73&lt;=$AH$4,$AG$4,IF(B73&lt;=$AH$5,$AG$5,IF(B73&lt;=$AH$6,$AG$6,IF(B73&lt;=$AH$7,$AG$7,IF(B73&lt;=$AH$8,$AG$8,IF(B73&lt;=$AH$9,$AG$9,IF(B73&lt;=$AH$10,$AG$10,IF(B73&lt;=$AH$11,$AG$11,IF(B73&lt;=$AH$12,$AG$12,IF(B73&lt;=$AH$13,$AG$13,IF(B73&lt;=$AH$14,$AG$14,"")))))))))))</f>
        <v>Caja 5</v>
      </c>
      <c r="H73" s="38"/>
      <c r="I73" s="36" t="s">
        <v>277</v>
      </c>
      <c r="J73" s="36">
        <v>623.90000000000009</v>
      </c>
      <c r="K73" s="36">
        <v>12.7</v>
      </c>
      <c r="L73" s="36">
        <v>9.2899999999999991</v>
      </c>
      <c r="M73" s="36">
        <f t="shared" si="12"/>
        <v>640</v>
      </c>
      <c r="N73" s="36">
        <f t="shared" si="13"/>
        <v>40</v>
      </c>
      <c r="O73" s="36" t="str">
        <f t="shared" si="14"/>
        <v>Caja 9</v>
      </c>
    </row>
    <row r="74" spans="1:15" x14ac:dyDescent="0.55000000000000004">
      <c r="A74" s="38"/>
      <c r="B74" s="38"/>
      <c r="C74" s="38"/>
      <c r="D74" s="38"/>
      <c r="E74" s="38"/>
      <c r="F74" s="38"/>
      <c r="G74" s="38"/>
      <c r="H74" s="38"/>
      <c r="I74" s="36" t="s">
        <v>278</v>
      </c>
      <c r="J74" s="36">
        <v>649.29999999999995</v>
      </c>
      <c r="K74" s="36">
        <v>19.100000000000001</v>
      </c>
      <c r="L74" s="36">
        <v>9.8699999999999992</v>
      </c>
      <c r="M74" s="36">
        <f t="shared" si="12"/>
        <v>1000</v>
      </c>
      <c r="N74" s="36">
        <f t="shared" si="13"/>
        <v>40</v>
      </c>
      <c r="O74" s="36" t="str">
        <f t="shared" si="14"/>
        <v>Caja 10</v>
      </c>
    </row>
    <row r="75" spans="1:15" x14ac:dyDescent="0.55000000000000004">
      <c r="A75" s="23"/>
      <c r="B75" s="23"/>
      <c r="C75" s="23"/>
      <c r="D75" s="23"/>
      <c r="E75" s="23"/>
      <c r="F75" s="23"/>
      <c r="G75" s="23"/>
      <c r="H75" s="38"/>
      <c r="I75" s="36" t="s">
        <v>279</v>
      </c>
      <c r="J75" s="36">
        <v>68.28</v>
      </c>
      <c r="K75" s="36">
        <v>16</v>
      </c>
      <c r="L75" s="36">
        <v>7.0000000000000007E-2</v>
      </c>
      <c r="M75" s="36">
        <f t="shared" si="12"/>
        <v>85</v>
      </c>
      <c r="N75" s="36">
        <f t="shared" si="13"/>
        <v>30</v>
      </c>
      <c r="O75" s="36" t="str">
        <f t="shared" si="14"/>
        <v>Caja 1</v>
      </c>
    </row>
    <row r="76" spans="1:15" x14ac:dyDescent="0.55000000000000004">
      <c r="H76" s="38"/>
      <c r="I76" s="36" t="s">
        <v>280</v>
      </c>
      <c r="J76" s="36">
        <v>74.63</v>
      </c>
      <c r="K76" s="36">
        <v>16</v>
      </c>
      <c r="L76" s="36">
        <v>0.09</v>
      </c>
      <c r="M76" s="36">
        <f t="shared" si="12"/>
        <v>85</v>
      </c>
      <c r="N76" s="36">
        <f t="shared" si="13"/>
        <v>30</v>
      </c>
      <c r="O76" s="36" t="str">
        <f t="shared" si="14"/>
        <v>Caja 1</v>
      </c>
    </row>
    <row r="77" spans="1:15" x14ac:dyDescent="0.55000000000000004">
      <c r="H77" s="38"/>
      <c r="I77" s="36" t="s">
        <v>281</v>
      </c>
      <c r="J77" s="36">
        <v>92.08</v>
      </c>
      <c r="K77" s="36">
        <v>17.5</v>
      </c>
      <c r="L77" s="36">
        <v>0.15</v>
      </c>
      <c r="M77" s="36">
        <f t="shared" si="12"/>
        <v>125</v>
      </c>
      <c r="N77" s="36">
        <f t="shared" si="13"/>
        <v>30</v>
      </c>
      <c r="O77" s="36" t="str">
        <f t="shared" si="14"/>
        <v>Caja 2</v>
      </c>
    </row>
    <row r="78" spans="1:15" x14ac:dyDescent="0.55000000000000004">
      <c r="H78" s="38"/>
      <c r="I78" s="36" t="s">
        <v>282</v>
      </c>
      <c r="J78" s="36">
        <v>106.38</v>
      </c>
      <c r="K78" s="36">
        <v>20.6</v>
      </c>
      <c r="L78" s="36">
        <v>0.2</v>
      </c>
      <c r="M78" s="36">
        <f t="shared" si="12"/>
        <v>125</v>
      </c>
      <c r="N78" s="36">
        <f t="shared" si="13"/>
        <v>30</v>
      </c>
      <c r="O78" s="36" t="str">
        <f t="shared" si="14"/>
        <v>Caja 2</v>
      </c>
    </row>
    <row r="79" spans="1:15" x14ac:dyDescent="0.55000000000000004">
      <c r="H79" s="38"/>
      <c r="I79" s="36" t="s">
        <v>283</v>
      </c>
      <c r="J79" s="36">
        <v>115.91</v>
      </c>
      <c r="K79" s="36">
        <v>20.6</v>
      </c>
      <c r="L79" s="36">
        <v>0.24</v>
      </c>
      <c r="M79" s="36">
        <f t="shared" si="12"/>
        <v>125</v>
      </c>
      <c r="N79" s="36">
        <f t="shared" si="13"/>
        <v>30</v>
      </c>
      <c r="O79" s="36" t="str">
        <f t="shared" si="14"/>
        <v>Caja 2</v>
      </c>
    </row>
    <row r="80" spans="1:15" x14ac:dyDescent="0.55000000000000004">
      <c r="H80" s="38"/>
      <c r="I80" s="36" t="s">
        <v>284</v>
      </c>
      <c r="J80" s="36">
        <v>142.88</v>
      </c>
      <c r="K80" s="36">
        <v>23.9</v>
      </c>
      <c r="L80" s="36">
        <v>0.37</v>
      </c>
      <c r="M80" s="36">
        <f t="shared" si="12"/>
        <v>156</v>
      </c>
      <c r="N80" s="36">
        <f t="shared" si="13"/>
        <v>30</v>
      </c>
      <c r="O80" s="36" t="str">
        <f t="shared" si="14"/>
        <v>Caja 3</v>
      </c>
    </row>
    <row r="81" spans="8:15" x14ac:dyDescent="0.55000000000000004">
      <c r="H81" s="38"/>
      <c r="I81" s="36" t="s">
        <v>285</v>
      </c>
      <c r="J81" s="36">
        <v>133.35</v>
      </c>
      <c r="K81" s="36">
        <v>23.9</v>
      </c>
      <c r="L81" s="36">
        <v>0.31</v>
      </c>
      <c r="M81" s="36">
        <f t="shared" si="12"/>
        <v>156</v>
      </c>
      <c r="N81" s="36">
        <f t="shared" si="13"/>
        <v>30</v>
      </c>
      <c r="O81" s="36" t="str">
        <f t="shared" si="14"/>
        <v>Caja 3</v>
      </c>
    </row>
    <row r="82" spans="8:15" x14ac:dyDescent="0.55000000000000004">
      <c r="H82" s="38"/>
      <c r="I82" s="36" t="s">
        <v>286</v>
      </c>
      <c r="J82" s="36">
        <v>177.81</v>
      </c>
      <c r="K82" s="36">
        <v>26.9</v>
      </c>
      <c r="L82" s="36">
        <v>0.59</v>
      </c>
      <c r="M82" s="36">
        <f t="shared" si="12"/>
        <v>178</v>
      </c>
      <c r="N82" s="36">
        <f t="shared" si="13"/>
        <v>30</v>
      </c>
      <c r="O82" s="36" t="str">
        <f t="shared" si="14"/>
        <v>Caja 4</v>
      </c>
    </row>
    <row r="83" spans="8:15" x14ac:dyDescent="0.55000000000000004">
      <c r="H83" s="38"/>
      <c r="I83" s="36" t="s">
        <v>287</v>
      </c>
      <c r="J83" s="36">
        <v>292.10000000000002</v>
      </c>
      <c r="K83" s="36">
        <v>38.1</v>
      </c>
      <c r="L83" s="36">
        <v>1.66</v>
      </c>
      <c r="M83" s="36">
        <f t="shared" si="12"/>
        <v>435</v>
      </c>
      <c r="N83" s="36">
        <f t="shared" si="13"/>
        <v>40</v>
      </c>
      <c r="O83" s="36" t="str">
        <f t="shared" si="14"/>
        <v>Caja 7</v>
      </c>
    </row>
    <row r="84" spans="8:15" x14ac:dyDescent="0.55000000000000004">
      <c r="H84" s="38"/>
      <c r="I84" s="36" t="s">
        <v>288</v>
      </c>
      <c r="J84" s="36">
        <v>239.73</v>
      </c>
      <c r="K84" s="36">
        <v>17.5</v>
      </c>
      <c r="L84" s="36">
        <v>1.27</v>
      </c>
      <c r="M84" s="36">
        <f t="shared" si="12"/>
        <v>240</v>
      </c>
      <c r="N84" s="36">
        <f t="shared" si="13"/>
        <v>30</v>
      </c>
      <c r="O84" s="36" t="str">
        <f t="shared" si="14"/>
        <v>Caja 5</v>
      </c>
    </row>
    <row r="85" spans="8:15" x14ac:dyDescent="0.55000000000000004">
      <c r="H85" s="38"/>
      <c r="I85" s="36" t="s">
        <v>289</v>
      </c>
      <c r="J85" s="36">
        <v>768.34999999999991</v>
      </c>
      <c r="K85" s="36">
        <v>23.9</v>
      </c>
      <c r="L85" s="36">
        <v>13.75</v>
      </c>
      <c r="M85" s="36">
        <f t="shared" si="12"/>
        <v>1000</v>
      </c>
      <c r="N85" s="36">
        <f t="shared" si="13"/>
        <v>40</v>
      </c>
      <c r="O85" s="36" t="str">
        <f t="shared" si="14"/>
        <v>Caja 10</v>
      </c>
    </row>
    <row r="86" spans="8:15" x14ac:dyDescent="0.55000000000000004">
      <c r="H86" s="38"/>
      <c r="I86" s="36" t="s">
        <v>290</v>
      </c>
      <c r="J86" s="36">
        <v>819.15</v>
      </c>
      <c r="K86" s="36">
        <v>23.9</v>
      </c>
      <c r="L86" s="36">
        <v>15.67</v>
      </c>
      <c r="M86" s="36">
        <f t="shared" si="12"/>
        <v>1000</v>
      </c>
      <c r="N86" s="36">
        <f t="shared" si="13"/>
        <v>40</v>
      </c>
      <c r="O86" s="36" t="str">
        <f t="shared" si="14"/>
        <v>Caja 10</v>
      </c>
    </row>
    <row r="87" spans="8:15" x14ac:dyDescent="0.55000000000000004">
      <c r="H87" s="38"/>
      <c r="I87" s="36" t="s">
        <v>291</v>
      </c>
      <c r="J87" s="36">
        <v>876.3</v>
      </c>
      <c r="K87" s="36">
        <v>23.9</v>
      </c>
      <c r="L87" s="36">
        <v>17.989999999999998</v>
      </c>
      <c r="M87" s="36">
        <f t="shared" si="12"/>
        <v>1000</v>
      </c>
      <c r="N87" s="36">
        <f t="shared" si="13"/>
        <v>40</v>
      </c>
      <c r="O87" s="36" t="str">
        <f t="shared" si="14"/>
        <v>Caja 10</v>
      </c>
    </row>
    <row r="88" spans="8:15" x14ac:dyDescent="0.55000000000000004">
      <c r="H88" s="38"/>
      <c r="I88" s="36" t="s">
        <v>292</v>
      </c>
      <c r="J88" s="36">
        <v>936.63</v>
      </c>
      <c r="K88" s="36">
        <v>26.9</v>
      </c>
      <c r="L88" s="36">
        <v>20.47</v>
      </c>
      <c r="M88" s="36">
        <f t="shared" si="12"/>
        <v>1000</v>
      </c>
      <c r="N88" s="36">
        <f t="shared" si="13"/>
        <v>40</v>
      </c>
      <c r="O88" s="36" t="str">
        <f t="shared" si="14"/>
        <v>Caja 10</v>
      </c>
    </row>
    <row r="89" spans="8:15" x14ac:dyDescent="0.55000000000000004">
      <c r="H89" s="38"/>
      <c r="I89" s="36" t="s">
        <v>293</v>
      </c>
      <c r="J89" s="36">
        <v>987.43000000000006</v>
      </c>
      <c r="K89" s="36">
        <v>26.9</v>
      </c>
      <c r="L89" s="36">
        <v>22.81</v>
      </c>
      <c r="M89" s="36">
        <f t="shared" si="12"/>
        <v>1000</v>
      </c>
      <c r="N89" s="36">
        <f t="shared" si="13"/>
        <v>40</v>
      </c>
      <c r="O89" s="36" t="str">
        <f t="shared" si="14"/>
        <v>Caja 10</v>
      </c>
    </row>
    <row r="90" spans="8:15" x14ac:dyDescent="0.55000000000000004">
      <c r="H90" s="38"/>
      <c r="I90" s="36" t="s">
        <v>294</v>
      </c>
      <c r="J90" s="36">
        <v>1044.58</v>
      </c>
      <c r="K90" s="36">
        <v>26.9</v>
      </c>
      <c r="L90" s="36">
        <v>25.59</v>
      </c>
      <c r="M90" s="36">
        <f t="shared" si="12"/>
        <v>1200</v>
      </c>
      <c r="N90" s="36">
        <f t="shared" si="13"/>
        <v>50</v>
      </c>
      <c r="O90" s="36" t="str">
        <f t="shared" si="14"/>
        <v>Caja 11</v>
      </c>
    </row>
    <row r="91" spans="8:15" x14ac:dyDescent="0.55000000000000004">
      <c r="H91" s="38"/>
      <c r="I91" s="36" t="s">
        <v>295</v>
      </c>
      <c r="J91" s="36">
        <v>246.07999999999998</v>
      </c>
      <c r="K91" s="36">
        <v>16</v>
      </c>
      <c r="L91" s="36">
        <v>1.35</v>
      </c>
      <c r="M91" s="36">
        <f t="shared" si="12"/>
        <v>255</v>
      </c>
      <c r="N91" s="36">
        <f t="shared" si="13"/>
        <v>30</v>
      </c>
      <c r="O91" s="36" t="str">
        <f t="shared" si="14"/>
        <v>Caja 6</v>
      </c>
    </row>
    <row r="92" spans="8:15" x14ac:dyDescent="0.55000000000000004">
      <c r="H92" s="38"/>
      <c r="I92" s="36" t="s">
        <v>296</v>
      </c>
      <c r="J92" s="36">
        <v>777.88</v>
      </c>
      <c r="K92" s="36">
        <v>35.1</v>
      </c>
      <c r="L92" s="36">
        <v>13.75</v>
      </c>
      <c r="M92" s="36">
        <f t="shared" si="12"/>
        <v>1000</v>
      </c>
      <c r="N92" s="36">
        <f t="shared" si="13"/>
        <v>40</v>
      </c>
      <c r="O92" s="36" t="str">
        <f t="shared" si="14"/>
        <v>Caja 10</v>
      </c>
    </row>
    <row r="93" spans="8:15" x14ac:dyDescent="0.55000000000000004">
      <c r="H93" s="38"/>
      <c r="I93" s="36" t="s">
        <v>297</v>
      </c>
      <c r="J93" s="36">
        <v>831.85</v>
      </c>
      <c r="K93" s="36">
        <v>38.1</v>
      </c>
      <c r="L93" s="36">
        <v>15.67</v>
      </c>
      <c r="M93" s="36">
        <f t="shared" si="12"/>
        <v>1000</v>
      </c>
      <c r="N93" s="36">
        <f t="shared" si="13"/>
        <v>40</v>
      </c>
      <c r="O93" s="36" t="str">
        <f t="shared" si="14"/>
        <v>Caja 10</v>
      </c>
    </row>
    <row r="94" spans="8:15" x14ac:dyDescent="0.55000000000000004">
      <c r="H94" s="38"/>
      <c r="I94" s="36" t="s">
        <v>298</v>
      </c>
      <c r="J94" s="36">
        <v>889</v>
      </c>
      <c r="K94" s="36">
        <v>38.1</v>
      </c>
      <c r="L94" s="36">
        <v>17.989999999999998</v>
      </c>
      <c r="M94" s="36">
        <f t="shared" si="12"/>
        <v>1000</v>
      </c>
      <c r="N94" s="36">
        <f t="shared" si="13"/>
        <v>40</v>
      </c>
      <c r="O94" s="36" t="str">
        <f t="shared" si="14"/>
        <v>Caja 10</v>
      </c>
    </row>
    <row r="95" spans="8:15" x14ac:dyDescent="0.55000000000000004">
      <c r="H95" s="38"/>
      <c r="I95" s="36" t="s">
        <v>299</v>
      </c>
      <c r="J95" s="36">
        <v>946.15</v>
      </c>
      <c r="K95" s="36">
        <v>38.1</v>
      </c>
      <c r="L95" s="36">
        <v>20.47</v>
      </c>
      <c r="M95" s="36">
        <f t="shared" si="12"/>
        <v>1000</v>
      </c>
      <c r="N95" s="36">
        <f t="shared" si="13"/>
        <v>40</v>
      </c>
      <c r="O95" s="36" t="str">
        <f t="shared" si="14"/>
        <v>Caja 10</v>
      </c>
    </row>
    <row r="96" spans="8:15" x14ac:dyDescent="0.55000000000000004">
      <c r="H96" s="38"/>
      <c r="I96" s="36" t="s">
        <v>300</v>
      </c>
      <c r="J96" s="36">
        <v>1000.13</v>
      </c>
      <c r="K96" s="36">
        <v>41.4</v>
      </c>
      <c r="L96" s="36">
        <v>22.81</v>
      </c>
      <c r="M96" s="36">
        <f t="shared" si="12"/>
        <v>1200</v>
      </c>
      <c r="N96" s="36">
        <f t="shared" si="13"/>
        <v>50</v>
      </c>
      <c r="O96" s="36" t="str">
        <f t="shared" si="14"/>
        <v>Caja 11</v>
      </c>
    </row>
    <row r="97" spans="8:15" x14ac:dyDescent="0.55000000000000004">
      <c r="H97" s="38"/>
      <c r="I97" s="36" t="s">
        <v>301</v>
      </c>
      <c r="J97" s="36">
        <v>1057.28</v>
      </c>
      <c r="K97" s="36">
        <v>41.4</v>
      </c>
      <c r="L97" s="36">
        <v>25.59</v>
      </c>
      <c r="M97" s="36">
        <f t="shared" si="12"/>
        <v>1200</v>
      </c>
      <c r="N97" s="36">
        <f t="shared" si="13"/>
        <v>50</v>
      </c>
      <c r="O97" s="36" t="str">
        <f t="shared" si="14"/>
        <v>Caja 11</v>
      </c>
    </row>
  </sheetData>
  <sortState ref="AH4:AH12">
    <sortCondition ref="AH13"/>
  </sortState>
  <mergeCells count="25">
    <mergeCell ref="Q1:W1"/>
    <mergeCell ref="Y1:AE1"/>
    <mergeCell ref="AC2:AE2"/>
    <mergeCell ref="U2:W2"/>
    <mergeCell ref="M2:O2"/>
    <mergeCell ref="Y2:Y3"/>
    <mergeCell ref="Z2:Z3"/>
    <mergeCell ref="AA2:AA3"/>
    <mergeCell ref="AB2:AB3"/>
    <mergeCell ref="AG1:AI2"/>
    <mergeCell ref="A1:G1"/>
    <mergeCell ref="K2:K3"/>
    <mergeCell ref="L2:L3"/>
    <mergeCell ref="Q2:Q3"/>
    <mergeCell ref="R2:R3"/>
    <mergeCell ref="S2:S3"/>
    <mergeCell ref="T2:T3"/>
    <mergeCell ref="A2:A3"/>
    <mergeCell ref="B2:B3"/>
    <mergeCell ref="C2:C3"/>
    <mergeCell ref="D2:D3"/>
    <mergeCell ref="I2:I3"/>
    <mergeCell ref="J2:J3"/>
    <mergeCell ref="E2:G2"/>
    <mergeCell ref="I1:O1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K22"/>
  <sheetViews>
    <sheetView topLeftCell="O1" workbookViewId="0">
      <selection activeCell="V24" sqref="V24"/>
    </sheetView>
  </sheetViews>
  <sheetFormatPr baseColWidth="10" defaultRowHeight="14.4" x14ac:dyDescent="0.55000000000000004"/>
  <cols>
    <col min="1" max="1" width="7.26171875" bestFit="1" customWidth="1"/>
    <col min="2" max="7" width="7" bestFit="1" customWidth="1"/>
    <col min="9" max="9" width="7.26171875" bestFit="1" customWidth="1"/>
    <col min="10" max="15" width="7" bestFit="1" customWidth="1"/>
    <col min="17" max="17" width="7.26171875" bestFit="1" customWidth="1"/>
    <col min="18" max="21" width="5.15625" bestFit="1" customWidth="1"/>
    <col min="22" max="23" width="6.41796875" bestFit="1" customWidth="1"/>
    <col min="25" max="31" width="6.41796875" customWidth="1"/>
    <col min="33" max="33" width="21.68359375" bestFit="1" customWidth="1"/>
    <col min="34" max="34" width="21.47265625" bestFit="1" customWidth="1"/>
    <col min="36" max="36" width="7.3125" customWidth="1"/>
    <col min="37" max="37" width="6.89453125" customWidth="1"/>
  </cols>
  <sheetData>
    <row r="1" spans="1:37" x14ac:dyDescent="0.55000000000000004">
      <c r="A1" s="90" t="s">
        <v>433</v>
      </c>
      <c r="B1" s="90"/>
      <c r="C1" s="90"/>
      <c r="D1" s="90"/>
      <c r="E1" s="90"/>
      <c r="F1" s="90"/>
      <c r="G1" s="90"/>
      <c r="H1" s="7"/>
      <c r="I1" s="90" t="s">
        <v>97</v>
      </c>
      <c r="J1" s="90"/>
      <c r="K1" s="90"/>
      <c r="L1" s="90"/>
      <c r="M1" s="90"/>
      <c r="N1" s="90"/>
      <c r="O1" s="90"/>
      <c r="P1" s="7"/>
      <c r="Q1" s="90" t="s">
        <v>380</v>
      </c>
      <c r="R1" s="90"/>
      <c r="S1" s="90"/>
      <c r="T1" s="90"/>
      <c r="U1" s="90"/>
      <c r="V1" s="90"/>
      <c r="W1" s="90"/>
      <c r="Y1" s="90" t="s">
        <v>385</v>
      </c>
      <c r="Z1" s="90"/>
      <c r="AA1" s="90"/>
      <c r="AB1" s="90"/>
      <c r="AC1" s="90"/>
      <c r="AD1" s="90"/>
      <c r="AE1" s="90"/>
      <c r="AG1" s="14" t="s">
        <v>396</v>
      </c>
      <c r="AH1" s="14" t="s">
        <v>434</v>
      </c>
      <c r="AJ1" s="92" t="s">
        <v>7</v>
      </c>
      <c r="AK1" s="92"/>
    </row>
    <row r="2" spans="1:37" ht="15" x14ac:dyDescent="0.55000000000000004">
      <c r="A2" s="91" t="s">
        <v>108</v>
      </c>
      <c r="B2" s="91" t="s">
        <v>381</v>
      </c>
      <c r="C2" s="91"/>
      <c r="D2" s="91"/>
      <c r="E2" s="91"/>
      <c r="F2" s="91"/>
      <c r="G2" s="91"/>
      <c r="H2" s="7"/>
      <c r="I2" s="91" t="s">
        <v>108</v>
      </c>
      <c r="J2" s="91" t="s">
        <v>381</v>
      </c>
      <c r="K2" s="91"/>
      <c r="L2" s="91"/>
      <c r="M2" s="91"/>
      <c r="N2" s="91"/>
      <c r="O2" s="91"/>
      <c r="P2" s="7"/>
      <c r="Q2" s="91" t="s">
        <v>108</v>
      </c>
      <c r="R2" s="91" t="s">
        <v>381</v>
      </c>
      <c r="S2" s="91"/>
      <c r="T2" s="91"/>
      <c r="U2" s="91"/>
      <c r="V2" s="91"/>
      <c r="W2" s="91"/>
      <c r="Y2" s="91" t="s">
        <v>108</v>
      </c>
      <c r="Z2" s="91" t="s">
        <v>381</v>
      </c>
      <c r="AA2" s="91"/>
      <c r="AB2" s="91"/>
      <c r="AC2" s="91"/>
      <c r="AD2" s="91"/>
      <c r="AE2" s="91"/>
      <c r="AG2" s="15">
        <v>3.4</v>
      </c>
      <c r="AH2" s="34">
        <f>AG2/1000^2</f>
        <v>3.4000000000000001E-6</v>
      </c>
      <c r="AJ2" s="91" t="s">
        <v>97</v>
      </c>
      <c r="AK2" s="91" t="s">
        <v>380</v>
      </c>
    </row>
    <row r="3" spans="1:37" ht="15" x14ac:dyDescent="0.55000000000000004">
      <c r="A3" s="91"/>
      <c r="B3" s="8">
        <v>150</v>
      </c>
      <c r="C3" s="8">
        <v>300</v>
      </c>
      <c r="D3" s="8">
        <v>600</v>
      </c>
      <c r="E3" s="8">
        <v>900</v>
      </c>
      <c r="F3" s="8">
        <v>1500</v>
      </c>
      <c r="G3" s="8">
        <v>2500</v>
      </c>
      <c r="H3" s="7"/>
      <c r="I3" s="91"/>
      <c r="J3" s="8">
        <v>150</v>
      </c>
      <c r="K3" s="8">
        <v>300</v>
      </c>
      <c r="L3" s="8">
        <v>600</v>
      </c>
      <c r="M3" s="8">
        <v>900</v>
      </c>
      <c r="N3" s="8">
        <v>1500</v>
      </c>
      <c r="O3" s="8">
        <v>2500</v>
      </c>
      <c r="P3" s="7"/>
      <c r="Q3" s="91"/>
      <c r="R3" s="8">
        <v>150</v>
      </c>
      <c r="S3" s="8">
        <v>300</v>
      </c>
      <c r="T3" s="8">
        <v>600</v>
      </c>
      <c r="U3" s="8">
        <v>900</v>
      </c>
      <c r="V3" s="8">
        <v>1500</v>
      </c>
      <c r="W3" s="8">
        <v>2500</v>
      </c>
      <c r="Y3" s="91"/>
      <c r="Z3" s="8">
        <v>150</v>
      </c>
      <c r="AA3" s="8">
        <v>300</v>
      </c>
      <c r="AB3" s="8">
        <v>600</v>
      </c>
      <c r="AC3" s="8">
        <v>900</v>
      </c>
      <c r="AD3" s="8">
        <v>1500</v>
      </c>
      <c r="AE3" s="8">
        <v>2500</v>
      </c>
      <c r="AJ3" s="91"/>
      <c r="AK3" s="91"/>
    </row>
    <row r="4" spans="1:37" ht="15" x14ac:dyDescent="0.55000000000000004">
      <c r="A4" s="8" t="s">
        <v>88</v>
      </c>
      <c r="B4" s="9">
        <v>3.2205388732649907E-2</v>
      </c>
      <c r="C4" s="9">
        <v>4.5359702440351993E-2</v>
      </c>
      <c r="D4" s="9">
        <v>4.5359702440351993E-2</v>
      </c>
      <c r="E4" s="9">
        <v>6.8493150684931503E-2</v>
      </c>
      <c r="F4" s="9">
        <v>6.8493150684931503E-2</v>
      </c>
      <c r="G4" s="9">
        <v>8.3461852490247665E-2</v>
      </c>
      <c r="H4" s="7"/>
      <c r="I4" s="8" t="s">
        <v>88</v>
      </c>
      <c r="J4" s="10">
        <v>47.8</v>
      </c>
      <c r="K4" s="10">
        <v>54.1</v>
      </c>
      <c r="L4" s="10">
        <v>54.1</v>
      </c>
      <c r="M4" s="10">
        <v>63.5</v>
      </c>
      <c r="N4" s="10">
        <v>63.5</v>
      </c>
      <c r="O4" s="10">
        <v>69.900000000000006</v>
      </c>
      <c r="P4" s="7"/>
      <c r="Q4" s="8" t="s">
        <v>88</v>
      </c>
      <c r="R4" s="11">
        <v>25</v>
      </c>
      <c r="S4" s="11">
        <v>25</v>
      </c>
      <c r="T4" s="11">
        <v>25</v>
      </c>
      <c r="U4" s="11">
        <v>25</v>
      </c>
      <c r="V4" s="11">
        <v>25</v>
      </c>
      <c r="W4" s="11">
        <v>25</v>
      </c>
      <c r="Y4" s="8" t="s">
        <v>88</v>
      </c>
      <c r="Z4" s="11">
        <v>6</v>
      </c>
      <c r="AA4" s="11">
        <v>6</v>
      </c>
      <c r="AB4" s="11">
        <v>6</v>
      </c>
      <c r="AC4" s="11">
        <v>6</v>
      </c>
      <c r="AD4" s="11">
        <v>6</v>
      </c>
      <c r="AE4" s="11">
        <v>6</v>
      </c>
      <c r="AF4" s="33"/>
      <c r="AJ4" s="34">
        <v>50</v>
      </c>
      <c r="AK4" s="34">
        <v>25</v>
      </c>
    </row>
    <row r="5" spans="1:37" ht="15" x14ac:dyDescent="0.55000000000000004">
      <c r="A5" s="8" t="s">
        <v>89</v>
      </c>
      <c r="B5" s="9">
        <v>4.5359702440351993E-2</v>
      </c>
      <c r="C5" s="9">
        <v>6.8946747709335024E-2</v>
      </c>
      <c r="D5" s="9">
        <v>6.8946747709335024E-2</v>
      </c>
      <c r="E5" s="9">
        <v>7.8018688197405414E-2</v>
      </c>
      <c r="F5" s="9">
        <v>7.8018688197405414E-2</v>
      </c>
      <c r="G5" s="9">
        <v>9.7523360246756771E-2</v>
      </c>
      <c r="H5" s="7"/>
      <c r="I5" s="8" t="s">
        <v>89</v>
      </c>
      <c r="J5" s="10">
        <v>57.2</v>
      </c>
      <c r="K5" s="10">
        <v>66.8</v>
      </c>
      <c r="L5" s="10">
        <v>66.8</v>
      </c>
      <c r="M5" s="10">
        <v>69.900000000000006</v>
      </c>
      <c r="N5" s="10">
        <v>69.900000000000006</v>
      </c>
      <c r="O5" s="10">
        <v>76.2</v>
      </c>
      <c r="P5" s="7"/>
      <c r="Q5" s="8" t="s">
        <v>89</v>
      </c>
      <c r="R5" s="11">
        <v>25</v>
      </c>
      <c r="S5" s="11">
        <v>25</v>
      </c>
      <c r="T5" s="11">
        <v>25</v>
      </c>
      <c r="U5" s="11">
        <v>25</v>
      </c>
      <c r="V5" s="11">
        <v>25</v>
      </c>
      <c r="W5" s="11">
        <v>25</v>
      </c>
      <c r="Y5" s="8" t="s">
        <v>89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33"/>
      <c r="AJ5" s="34">
        <v>60</v>
      </c>
      <c r="AK5" s="34">
        <v>20</v>
      </c>
    </row>
    <row r="6" spans="1:37" ht="15" x14ac:dyDescent="0.55000000000000004">
      <c r="A6" s="8">
        <v>1</v>
      </c>
      <c r="B6" s="9">
        <v>5.6699628050439987E-2</v>
      </c>
      <c r="C6" s="9">
        <v>7.5297106050984303E-2</v>
      </c>
      <c r="D6" s="9">
        <v>7.5297106050984303E-2</v>
      </c>
      <c r="E6" s="9">
        <v>9.706976322235325E-2</v>
      </c>
      <c r="F6" s="9">
        <v>9.706976322235325E-2</v>
      </c>
      <c r="G6" s="9">
        <v>0.11974961444252925</v>
      </c>
      <c r="H6" s="7"/>
      <c r="I6" s="8">
        <v>1</v>
      </c>
      <c r="J6" s="10">
        <v>66.8</v>
      </c>
      <c r="K6" s="10">
        <v>73.2</v>
      </c>
      <c r="L6" s="10">
        <v>73.2</v>
      </c>
      <c r="M6" s="10">
        <v>79.5</v>
      </c>
      <c r="N6" s="10">
        <v>79.5</v>
      </c>
      <c r="O6" s="10">
        <v>85.9</v>
      </c>
      <c r="P6" s="7"/>
      <c r="Q6" s="8">
        <v>1</v>
      </c>
      <c r="R6" s="11">
        <v>20</v>
      </c>
      <c r="S6" s="11">
        <v>20</v>
      </c>
      <c r="T6" s="11">
        <v>20</v>
      </c>
      <c r="U6" s="11">
        <v>20</v>
      </c>
      <c r="V6" s="11">
        <v>20</v>
      </c>
      <c r="W6" s="11">
        <v>20</v>
      </c>
      <c r="Y6" s="8">
        <v>1</v>
      </c>
      <c r="Z6" s="11">
        <v>6</v>
      </c>
      <c r="AA6" s="11">
        <v>6</v>
      </c>
      <c r="AB6" s="11">
        <v>6</v>
      </c>
      <c r="AC6" s="11">
        <v>6</v>
      </c>
      <c r="AD6" s="11">
        <v>6</v>
      </c>
      <c r="AE6" s="11">
        <v>6</v>
      </c>
      <c r="AF6" s="33"/>
      <c r="AJ6" s="34">
        <v>100</v>
      </c>
      <c r="AK6" s="34">
        <v>15</v>
      </c>
    </row>
    <row r="7" spans="1:37" ht="15" x14ac:dyDescent="0.55000000000000004">
      <c r="A7" s="8" t="s">
        <v>90</v>
      </c>
      <c r="B7" s="9">
        <v>5.7606822099247029E-2</v>
      </c>
      <c r="C7" s="9">
        <v>8.1647464392633581E-2</v>
      </c>
      <c r="D7" s="9">
        <v>8.1647464392633581E-2</v>
      </c>
      <c r="E7" s="9">
        <v>0.11067767395445885</v>
      </c>
      <c r="F7" s="9">
        <v>0.11067767395445885</v>
      </c>
      <c r="G7" s="9">
        <v>0.17327406332214459</v>
      </c>
      <c r="H7" s="7"/>
      <c r="I7" s="8" t="s">
        <v>90</v>
      </c>
      <c r="J7" s="10">
        <v>76.2</v>
      </c>
      <c r="K7" s="10">
        <v>82.6</v>
      </c>
      <c r="L7" s="10">
        <v>82.6</v>
      </c>
      <c r="M7" s="10">
        <v>88.9</v>
      </c>
      <c r="N7" s="10">
        <v>88.9</v>
      </c>
      <c r="O7" s="10">
        <v>104.9</v>
      </c>
      <c r="P7" s="7"/>
      <c r="Q7" s="8" t="s">
        <v>90</v>
      </c>
      <c r="R7" s="11">
        <v>20</v>
      </c>
      <c r="S7" s="11">
        <v>20</v>
      </c>
      <c r="T7" s="11">
        <v>20</v>
      </c>
      <c r="U7" s="11">
        <v>20</v>
      </c>
      <c r="V7" s="11">
        <v>20</v>
      </c>
      <c r="W7" s="11">
        <v>20</v>
      </c>
      <c r="Y7" s="8" t="s">
        <v>90</v>
      </c>
      <c r="Z7" s="11">
        <v>6</v>
      </c>
      <c r="AA7" s="11">
        <v>6</v>
      </c>
      <c r="AB7" s="11">
        <v>6</v>
      </c>
      <c r="AC7" s="11">
        <v>6</v>
      </c>
      <c r="AD7" s="11">
        <v>6</v>
      </c>
      <c r="AE7" s="11">
        <v>6</v>
      </c>
      <c r="AF7" s="33"/>
      <c r="AJ7" s="34">
        <v>200</v>
      </c>
      <c r="AK7" s="34">
        <v>12</v>
      </c>
    </row>
    <row r="8" spans="1:37" ht="15" x14ac:dyDescent="0.55000000000000004">
      <c r="A8" s="8" t="s">
        <v>91</v>
      </c>
      <c r="B8" s="9">
        <v>6.9853941758142066E-2</v>
      </c>
      <c r="C8" s="9">
        <v>0.1075024947836342</v>
      </c>
      <c r="D8" s="9">
        <v>0.1075024947836342</v>
      </c>
      <c r="E8" s="9">
        <v>0.12836795790619612</v>
      </c>
      <c r="F8" s="9">
        <v>0.12836795790619612</v>
      </c>
      <c r="G8" s="9">
        <v>0.21273700444525082</v>
      </c>
      <c r="H8" s="7"/>
      <c r="I8" s="8" t="s">
        <v>91</v>
      </c>
      <c r="J8" s="10">
        <v>85.9</v>
      </c>
      <c r="K8" s="10">
        <v>95.3</v>
      </c>
      <c r="L8" s="10">
        <v>95.3</v>
      </c>
      <c r="M8" s="10">
        <v>98.6</v>
      </c>
      <c r="N8" s="10">
        <v>98.6</v>
      </c>
      <c r="O8" s="10">
        <v>117.6</v>
      </c>
      <c r="P8" s="7"/>
      <c r="Q8" s="8" t="s">
        <v>91</v>
      </c>
      <c r="R8" s="11">
        <v>10</v>
      </c>
      <c r="S8" s="11">
        <v>10</v>
      </c>
      <c r="T8" s="11">
        <v>10</v>
      </c>
      <c r="U8" s="11">
        <v>10</v>
      </c>
      <c r="V8" s="11">
        <v>10</v>
      </c>
      <c r="W8" s="11">
        <v>10</v>
      </c>
      <c r="Y8" s="8" t="s">
        <v>91</v>
      </c>
      <c r="Z8" s="11">
        <v>6</v>
      </c>
      <c r="AA8" s="11">
        <v>6</v>
      </c>
      <c r="AB8" s="11">
        <v>6</v>
      </c>
      <c r="AC8" s="11">
        <v>6</v>
      </c>
      <c r="AD8" s="11">
        <v>6</v>
      </c>
      <c r="AE8" s="11">
        <v>6</v>
      </c>
      <c r="AF8" s="33"/>
      <c r="AJ8" s="34">
        <v>400</v>
      </c>
      <c r="AK8" s="34">
        <v>10</v>
      </c>
    </row>
    <row r="9" spans="1:37" ht="15" x14ac:dyDescent="0.55000000000000004">
      <c r="A9" s="8">
        <v>2</v>
      </c>
      <c r="B9" s="9">
        <v>9.706976322235325E-2</v>
      </c>
      <c r="C9" s="9">
        <v>0.12972874897940667</v>
      </c>
      <c r="D9" s="9">
        <v>0.12972874897940667</v>
      </c>
      <c r="E9" s="9">
        <v>0.30572439444797245</v>
      </c>
      <c r="F9" s="9">
        <v>0.30572439444797245</v>
      </c>
      <c r="G9" s="9">
        <v>0.33566179805860469</v>
      </c>
      <c r="H9" s="7"/>
      <c r="I9" s="8">
        <v>2</v>
      </c>
      <c r="J9" s="10">
        <v>104.9</v>
      </c>
      <c r="K9" s="10">
        <v>111.3</v>
      </c>
      <c r="L9" s="10">
        <v>111.3</v>
      </c>
      <c r="M9" s="10">
        <v>143</v>
      </c>
      <c r="N9" s="10">
        <v>143</v>
      </c>
      <c r="O9" s="10">
        <v>146.1</v>
      </c>
      <c r="P9" s="7"/>
      <c r="Q9" s="8">
        <v>2</v>
      </c>
      <c r="R9" s="11">
        <v>10</v>
      </c>
      <c r="S9" s="11">
        <v>10</v>
      </c>
      <c r="T9" s="11">
        <v>10</v>
      </c>
      <c r="U9" s="11">
        <v>10</v>
      </c>
      <c r="V9" s="11">
        <v>10</v>
      </c>
      <c r="W9" s="11">
        <v>10</v>
      </c>
      <c r="Y9" s="8">
        <v>2</v>
      </c>
      <c r="Z9" s="11">
        <v>6</v>
      </c>
      <c r="AA9" s="11">
        <v>6</v>
      </c>
      <c r="AB9" s="11">
        <v>6</v>
      </c>
      <c r="AC9" s="11">
        <v>6</v>
      </c>
      <c r="AD9" s="11">
        <v>6</v>
      </c>
      <c r="AE9" s="11">
        <v>6</v>
      </c>
      <c r="AF9" s="33"/>
      <c r="AJ9" s="34">
        <v>800</v>
      </c>
      <c r="AK9" s="34">
        <v>5</v>
      </c>
    </row>
    <row r="10" spans="1:37" ht="15" x14ac:dyDescent="0.55000000000000004">
      <c r="A10" s="8" t="s">
        <v>92</v>
      </c>
      <c r="B10" s="9">
        <v>0.14197586863830172</v>
      </c>
      <c r="C10" s="9">
        <v>0.17917082463939035</v>
      </c>
      <c r="D10" s="9">
        <v>0.17917082463939035</v>
      </c>
      <c r="E10" s="9">
        <v>0.40778372493876441</v>
      </c>
      <c r="F10" s="9">
        <v>0.40778372493876441</v>
      </c>
      <c r="G10" s="9">
        <v>0.42955638211013331</v>
      </c>
      <c r="H10" s="7"/>
      <c r="I10" s="8" t="s">
        <v>92</v>
      </c>
      <c r="J10" s="10">
        <v>124</v>
      </c>
      <c r="K10" s="10">
        <v>130.30000000000001</v>
      </c>
      <c r="L10" s="10">
        <v>130.30000000000001</v>
      </c>
      <c r="M10" s="10">
        <v>165.1</v>
      </c>
      <c r="N10" s="10">
        <v>165.1</v>
      </c>
      <c r="O10" s="10">
        <v>168.4</v>
      </c>
      <c r="P10" s="7"/>
      <c r="Q10" s="8" t="s">
        <v>92</v>
      </c>
      <c r="R10" s="11">
        <v>10</v>
      </c>
      <c r="S10" s="11">
        <v>10</v>
      </c>
      <c r="T10" s="11">
        <v>10</v>
      </c>
      <c r="U10" s="11">
        <v>10</v>
      </c>
      <c r="V10" s="11">
        <v>10</v>
      </c>
      <c r="W10" s="11">
        <v>10</v>
      </c>
      <c r="Y10" s="8" t="s">
        <v>92</v>
      </c>
      <c r="Z10" s="11">
        <v>6</v>
      </c>
      <c r="AA10" s="11">
        <v>6</v>
      </c>
      <c r="AB10" s="11">
        <v>6</v>
      </c>
      <c r="AC10" s="11">
        <v>6</v>
      </c>
      <c r="AD10" s="11">
        <v>6</v>
      </c>
      <c r="AE10" s="11">
        <v>6</v>
      </c>
      <c r="AF10" s="33"/>
      <c r="AJ10" s="34">
        <v>1000</v>
      </c>
      <c r="AK10" s="34">
        <v>3</v>
      </c>
    </row>
    <row r="11" spans="1:37" ht="15" x14ac:dyDescent="0.55000000000000004">
      <c r="A11" s="8">
        <v>3</v>
      </c>
      <c r="B11" s="9">
        <v>0.12519277873537149</v>
      </c>
      <c r="C11" s="9">
        <v>0.20820103420121563</v>
      </c>
      <c r="D11" s="9">
        <v>0.20820103420121563</v>
      </c>
      <c r="E11" s="9">
        <v>0.32931143971695542</v>
      </c>
      <c r="F11" s="9">
        <v>0.39599020230427284</v>
      </c>
      <c r="G11" s="9">
        <v>0.5683570715776104</v>
      </c>
      <c r="H11" s="7"/>
      <c r="I11" s="8">
        <v>3</v>
      </c>
      <c r="J11" s="10">
        <v>136.69999999999999</v>
      </c>
      <c r="K11" s="10">
        <v>149.4</v>
      </c>
      <c r="L11" s="10">
        <v>149.4</v>
      </c>
      <c r="M11" s="10">
        <v>168.4</v>
      </c>
      <c r="N11" s="10">
        <v>174.8</v>
      </c>
      <c r="O11" s="10">
        <v>196.9</v>
      </c>
      <c r="P11" s="7"/>
      <c r="Q11" s="8">
        <v>3</v>
      </c>
      <c r="R11" s="11">
        <v>10</v>
      </c>
      <c r="S11" s="11">
        <v>10</v>
      </c>
      <c r="T11" s="11">
        <v>10</v>
      </c>
      <c r="U11" s="11">
        <v>10</v>
      </c>
      <c r="V11" s="11">
        <v>10</v>
      </c>
      <c r="W11" s="11">
        <v>10</v>
      </c>
      <c r="Y11" s="8">
        <v>3</v>
      </c>
      <c r="Z11" s="11">
        <v>6</v>
      </c>
      <c r="AA11" s="11">
        <v>6</v>
      </c>
      <c r="AB11" s="11">
        <v>6</v>
      </c>
      <c r="AC11" s="11">
        <v>6</v>
      </c>
      <c r="AD11" s="11">
        <v>6</v>
      </c>
      <c r="AE11" s="11">
        <v>6</v>
      </c>
      <c r="AF11" s="33"/>
    </row>
    <row r="12" spans="1:37" ht="15" x14ac:dyDescent="0.55000000000000004">
      <c r="A12" s="8">
        <v>4</v>
      </c>
      <c r="B12" s="9">
        <v>0.22906649732377754</v>
      </c>
      <c r="C12" s="9">
        <v>0.28531252834981402</v>
      </c>
      <c r="D12" s="9">
        <v>0.39417581420665876</v>
      </c>
      <c r="E12" s="9">
        <v>0.4916991744534156</v>
      </c>
      <c r="F12" s="9">
        <v>0.53206930962532883</v>
      </c>
      <c r="G12" s="9">
        <v>0.75297106050984297</v>
      </c>
      <c r="H12" s="7"/>
      <c r="I12" s="8">
        <v>4</v>
      </c>
      <c r="J12" s="10">
        <v>174.8</v>
      </c>
      <c r="K12" s="10">
        <v>181.1</v>
      </c>
      <c r="L12" s="10">
        <v>193.8</v>
      </c>
      <c r="M12" s="10">
        <v>206.5</v>
      </c>
      <c r="N12" s="10">
        <v>209.6</v>
      </c>
      <c r="O12" s="10">
        <v>235</v>
      </c>
      <c r="P12" s="7"/>
      <c r="Q12" s="8">
        <v>4</v>
      </c>
      <c r="R12" s="11">
        <v>10</v>
      </c>
      <c r="S12" s="11">
        <v>10</v>
      </c>
      <c r="T12" s="11">
        <v>10</v>
      </c>
      <c r="U12" s="11">
        <v>10</v>
      </c>
      <c r="V12" s="11">
        <v>10</v>
      </c>
      <c r="W12" s="11">
        <v>10</v>
      </c>
      <c r="Y12" s="8">
        <v>4</v>
      </c>
      <c r="Z12" s="11">
        <v>6</v>
      </c>
      <c r="AA12" s="11">
        <v>6</v>
      </c>
      <c r="AB12" s="11">
        <v>6</v>
      </c>
      <c r="AC12" s="11">
        <v>6</v>
      </c>
      <c r="AD12" s="11">
        <v>6</v>
      </c>
      <c r="AE12" s="11">
        <v>6</v>
      </c>
      <c r="AF12" s="33"/>
    </row>
    <row r="13" spans="1:37" ht="15" x14ac:dyDescent="0.55000000000000004">
      <c r="A13" s="8">
        <v>5</v>
      </c>
      <c r="B13" s="9">
        <v>0.22407693005533882</v>
      </c>
      <c r="C13" s="9">
        <v>0.38283588859657075</v>
      </c>
      <c r="D13" s="9">
        <v>0.65998367050712148</v>
      </c>
      <c r="E13" s="9">
        <v>0.67495237231243754</v>
      </c>
      <c r="F13" s="9">
        <v>0.76839335933956265</v>
      </c>
      <c r="G13" s="9">
        <v>1.0772929329583598</v>
      </c>
      <c r="H13" s="7"/>
      <c r="I13" s="8">
        <v>5</v>
      </c>
      <c r="J13" s="10">
        <v>196.9</v>
      </c>
      <c r="K13" s="10">
        <v>215.9</v>
      </c>
      <c r="L13" s="10">
        <v>241.3</v>
      </c>
      <c r="M13" s="10">
        <v>247.7</v>
      </c>
      <c r="N13" s="10">
        <v>254</v>
      </c>
      <c r="O13" s="10">
        <v>279.39999999999998</v>
      </c>
      <c r="P13" s="7"/>
      <c r="Q13" s="8">
        <v>5</v>
      </c>
      <c r="R13" s="11">
        <v>10</v>
      </c>
      <c r="S13" s="11">
        <v>10</v>
      </c>
      <c r="T13" s="11">
        <v>10</v>
      </c>
      <c r="U13" s="11">
        <v>10</v>
      </c>
      <c r="V13" s="11">
        <v>10</v>
      </c>
      <c r="W13" s="11">
        <v>10</v>
      </c>
      <c r="Y13" s="8">
        <v>5</v>
      </c>
      <c r="Z13" s="11">
        <v>6</v>
      </c>
      <c r="AA13" s="11">
        <v>6</v>
      </c>
      <c r="AB13" s="11">
        <v>6</v>
      </c>
      <c r="AC13" s="11">
        <v>6</v>
      </c>
      <c r="AD13" s="11">
        <v>6</v>
      </c>
      <c r="AE13" s="12">
        <v>6</v>
      </c>
      <c r="AF13" s="33"/>
    </row>
    <row r="14" spans="1:37" ht="15" x14ac:dyDescent="0.55000000000000004">
      <c r="A14" s="8">
        <v>6</v>
      </c>
      <c r="B14" s="9">
        <v>0.20547945205479451</v>
      </c>
      <c r="C14" s="9">
        <v>0.4948743536242402</v>
      </c>
      <c r="D14" s="9">
        <v>0.71849768665517555</v>
      </c>
      <c r="E14" s="9">
        <v>0.92170915358795247</v>
      </c>
      <c r="F14" s="9">
        <v>0.89358613807493414</v>
      </c>
      <c r="G14" s="9">
        <v>1.2755148326226979</v>
      </c>
      <c r="H14" s="7"/>
      <c r="I14" s="8">
        <v>6</v>
      </c>
      <c r="J14" s="10">
        <v>222.3</v>
      </c>
      <c r="K14" s="10">
        <v>251</v>
      </c>
      <c r="L14" s="10">
        <v>266.7</v>
      </c>
      <c r="M14" s="10">
        <v>289.10000000000002</v>
      </c>
      <c r="N14" s="10">
        <v>282.7</v>
      </c>
      <c r="O14" s="10">
        <v>317.5</v>
      </c>
      <c r="P14" s="7"/>
      <c r="Q14" s="8">
        <v>6</v>
      </c>
      <c r="R14" s="11">
        <v>10</v>
      </c>
      <c r="S14" s="11">
        <v>10</v>
      </c>
      <c r="T14" s="11">
        <v>10</v>
      </c>
      <c r="U14" s="11">
        <v>10</v>
      </c>
      <c r="V14" s="11">
        <v>10</v>
      </c>
      <c r="W14" s="11">
        <v>10</v>
      </c>
      <c r="Y14" s="8">
        <v>6</v>
      </c>
      <c r="Z14" s="11">
        <v>6</v>
      </c>
      <c r="AA14" s="11">
        <v>6</v>
      </c>
      <c r="AB14" s="11">
        <v>6</v>
      </c>
      <c r="AC14" s="11">
        <v>6</v>
      </c>
      <c r="AD14" s="11">
        <v>6</v>
      </c>
      <c r="AE14" s="11">
        <v>6</v>
      </c>
      <c r="AF14" s="33"/>
    </row>
    <row r="15" spans="1:37" ht="15" x14ac:dyDescent="0.55000000000000004">
      <c r="A15" s="8">
        <v>8</v>
      </c>
      <c r="B15" s="9">
        <v>0.31071396171641114</v>
      </c>
      <c r="C15" s="9">
        <v>0.6663340288487708</v>
      </c>
      <c r="D15" s="9">
        <v>0.8740814660255829</v>
      </c>
      <c r="E15" s="9">
        <v>1.4306450149687018</v>
      </c>
      <c r="F15" s="9">
        <v>1.3843781184795427</v>
      </c>
      <c r="G15" s="9">
        <v>1.8660981583960807</v>
      </c>
      <c r="H15" s="7"/>
      <c r="I15" s="8">
        <v>8</v>
      </c>
      <c r="J15" s="10">
        <v>279.39999999999998</v>
      </c>
      <c r="K15" s="10">
        <v>308.10000000000002</v>
      </c>
      <c r="L15" s="10">
        <v>320.8</v>
      </c>
      <c r="M15" s="10">
        <v>358.9</v>
      </c>
      <c r="N15" s="10">
        <v>282.7</v>
      </c>
      <c r="O15" s="10">
        <v>387.4</v>
      </c>
      <c r="P15" s="7"/>
      <c r="Q15" s="8">
        <v>8</v>
      </c>
      <c r="R15" s="11">
        <v>5</v>
      </c>
      <c r="S15" s="11">
        <v>5</v>
      </c>
      <c r="T15" s="11">
        <v>5</v>
      </c>
      <c r="U15" s="11">
        <v>5</v>
      </c>
      <c r="V15" s="11">
        <v>5</v>
      </c>
      <c r="W15" s="11">
        <v>5</v>
      </c>
      <c r="Y15" s="8">
        <v>8</v>
      </c>
      <c r="Z15" s="11">
        <v>6</v>
      </c>
      <c r="AA15" s="11">
        <v>6</v>
      </c>
      <c r="AB15" s="11">
        <v>6</v>
      </c>
      <c r="AC15" s="11">
        <v>6</v>
      </c>
      <c r="AD15" s="11">
        <v>6</v>
      </c>
      <c r="AE15" s="11">
        <v>6</v>
      </c>
      <c r="AF15" s="33"/>
    </row>
    <row r="16" spans="1:37" ht="15" x14ac:dyDescent="0.55000000000000004">
      <c r="A16" s="8">
        <v>10</v>
      </c>
      <c r="B16" s="9">
        <v>0.48262723396534518</v>
      </c>
      <c r="C16" s="9">
        <v>0.7924340016329493</v>
      </c>
      <c r="D16" s="9">
        <v>1.4174907012609996</v>
      </c>
      <c r="E16" s="9">
        <v>2.1264628504037013</v>
      </c>
      <c r="F16" s="9">
        <v>2.0933502676222444</v>
      </c>
      <c r="G16" s="9">
        <v>2.8272702531071392</v>
      </c>
      <c r="H16" s="7"/>
      <c r="I16" s="8">
        <v>10</v>
      </c>
      <c r="J16" s="10">
        <v>339.9</v>
      </c>
      <c r="K16" s="10">
        <v>362</v>
      </c>
      <c r="L16" s="10">
        <v>400.1</v>
      </c>
      <c r="M16" s="10">
        <v>435.1</v>
      </c>
      <c r="N16" s="10">
        <v>282.7</v>
      </c>
      <c r="O16" s="10">
        <v>476.3</v>
      </c>
      <c r="P16" s="7"/>
      <c r="Q16" s="8">
        <v>10</v>
      </c>
      <c r="R16" s="11">
        <v>5</v>
      </c>
      <c r="S16" s="11">
        <v>5</v>
      </c>
      <c r="T16" s="11">
        <v>5</v>
      </c>
      <c r="U16" s="11">
        <v>5</v>
      </c>
      <c r="V16" s="11">
        <v>5</v>
      </c>
      <c r="W16" s="11">
        <v>5</v>
      </c>
      <c r="Y16" s="8">
        <v>10</v>
      </c>
      <c r="Z16" s="11">
        <v>6</v>
      </c>
      <c r="AA16" s="11">
        <v>6</v>
      </c>
      <c r="AB16" s="11">
        <v>6</v>
      </c>
      <c r="AC16" s="11">
        <v>6</v>
      </c>
      <c r="AD16" s="11">
        <v>6</v>
      </c>
      <c r="AE16" s="11">
        <v>6</v>
      </c>
      <c r="AF16" s="33"/>
    </row>
    <row r="17" spans="1:32" ht="15" x14ac:dyDescent="0.55000000000000004">
      <c r="A17" s="8">
        <v>12</v>
      </c>
      <c r="B17" s="9">
        <v>0.77519731470561548</v>
      </c>
      <c r="C17" s="9">
        <v>1.0178717227614986</v>
      </c>
      <c r="D17" s="9">
        <v>1.6783089902930237</v>
      </c>
      <c r="E17" s="9">
        <v>2.5514832622697994</v>
      </c>
      <c r="F17" s="9">
        <v>3.0050802866733193</v>
      </c>
      <c r="G17" s="9">
        <v>3.6927333756690555</v>
      </c>
      <c r="H17" s="7"/>
      <c r="I17" s="8">
        <v>12</v>
      </c>
      <c r="J17" s="10">
        <v>409.7</v>
      </c>
      <c r="K17" s="10">
        <v>422.4</v>
      </c>
      <c r="L17" s="10">
        <v>457.2</v>
      </c>
      <c r="M17" s="10">
        <v>498.6</v>
      </c>
      <c r="N17" s="10">
        <v>282.7</v>
      </c>
      <c r="O17" s="10">
        <v>549.4</v>
      </c>
      <c r="P17" s="7"/>
      <c r="Q17" s="8">
        <v>12</v>
      </c>
      <c r="R17" s="11">
        <v>5</v>
      </c>
      <c r="S17" s="11">
        <v>5</v>
      </c>
      <c r="T17" s="11">
        <v>5</v>
      </c>
      <c r="U17" s="11">
        <v>5</v>
      </c>
      <c r="V17" s="11">
        <v>5</v>
      </c>
      <c r="W17" s="11">
        <v>5</v>
      </c>
      <c r="Y17" s="8">
        <v>12</v>
      </c>
      <c r="Z17" s="11">
        <v>6</v>
      </c>
      <c r="AA17" s="11">
        <v>6</v>
      </c>
      <c r="AB17" s="11">
        <v>6</v>
      </c>
      <c r="AC17" s="11">
        <v>6</v>
      </c>
      <c r="AD17" s="11">
        <v>6</v>
      </c>
      <c r="AE17" s="11">
        <v>6</v>
      </c>
      <c r="AF17" s="33"/>
    </row>
    <row r="18" spans="1:32" ht="15" x14ac:dyDescent="0.55000000000000004">
      <c r="A18" s="8">
        <v>14</v>
      </c>
      <c r="B18" s="9">
        <v>1.0069853941758142</v>
      </c>
      <c r="C18" s="9">
        <v>1.6832985575614623</v>
      </c>
      <c r="D18" s="9">
        <v>1.8964891590311166</v>
      </c>
      <c r="E18" s="9">
        <v>2.5301642021228341</v>
      </c>
      <c r="F18" s="9">
        <v>3.7054340923523541</v>
      </c>
      <c r="G18" s="9" t="s">
        <v>382</v>
      </c>
      <c r="H18" s="7"/>
      <c r="I18" s="8">
        <v>14</v>
      </c>
      <c r="J18" s="10">
        <v>450.9</v>
      </c>
      <c r="K18" s="10">
        <v>485.9</v>
      </c>
      <c r="L18" s="10">
        <v>492.3</v>
      </c>
      <c r="M18" s="10">
        <v>520.70000000000005</v>
      </c>
      <c r="N18" s="10">
        <v>282.7</v>
      </c>
      <c r="O18" s="10" t="s">
        <v>382</v>
      </c>
      <c r="P18" s="7"/>
      <c r="Q18" s="8">
        <v>14</v>
      </c>
      <c r="R18" s="11">
        <v>5</v>
      </c>
      <c r="S18" s="11">
        <v>5</v>
      </c>
      <c r="T18" s="11">
        <v>5</v>
      </c>
      <c r="U18" s="11">
        <v>5</v>
      </c>
      <c r="V18" s="11">
        <v>5</v>
      </c>
      <c r="W18" s="10" t="s">
        <v>382</v>
      </c>
      <c r="Y18" s="8">
        <v>14</v>
      </c>
      <c r="Z18" s="11">
        <v>6</v>
      </c>
      <c r="AA18" s="11">
        <v>6</v>
      </c>
      <c r="AB18" s="11">
        <v>6</v>
      </c>
      <c r="AC18" s="11">
        <v>6</v>
      </c>
      <c r="AD18" s="11">
        <v>6</v>
      </c>
      <c r="AE18" s="10" t="s">
        <v>382</v>
      </c>
      <c r="AF18" s="33"/>
    </row>
    <row r="19" spans="1:32" ht="15" x14ac:dyDescent="0.55000000000000004">
      <c r="A19" s="8">
        <v>16</v>
      </c>
      <c r="B19" s="9">
        <v>1.3562551029665246</v>
      </c>
      <c r="C19" s="9">
        <v>1.8556654268347998</v>
      </c>
      <c r="D19" s="9">
        <v>2.4929692461217456</v>
      </c>
      <c r="E19" s="9">
        <v>2.7578699083734008</v>
      </c>
      <c r="F19" s="9">
        <v>4.4293749433003722</v>
      </c>
      <c r="G19" s="9" t="s">
        <v>382</v>
      </c>
      <c r="H19" s="7"/>
      <c r="I19" s="8">
        <v>16</v>
      </c>
      <c r="J19" s="10">
        <v>514.4</v>
      </c>
      <c r="K19" s="10">
        <v>539.79999999999995</v>
      </c>
      <c r="L19" s="10">
        <v>565.20000000000005</v>
      </c>
      <c r="M19" s="10">
        <v>574.79999999999995</v>
      </c>
      <c r="N19" s="10">
        <v>282.7</v>
      </c>
      <c r="O19" s="10" t="s">
        <v>382</v>
      </c>
      <c r="P19" s="7"/>
      <c r="Q19" s="8">
        <v>16</v>
      </c>
      <c r="R19" s="11">
        <v>5</v>
      </c>
      <c r="S19" s="11">
        <v>5</v>
      </c>
      <c r="T19" s="11">
        <v>5</v>
      </c>
      <c r="U19" s="11">
        <v>5</v>
      </c>
      <c r="V19" s="11">
        <v>5</v>
      </c>
      <c r="W19" s="10" t="s">
        <v>382</v>
      </c>
      <c r="Y19" s="8">
        <v>16</v>
      </c>
      <c r="Z19" s="11">
        <v>6</v>
      </c>
      <c r="AA19" s="11">
        <v>6</v>
      </c>
      <c r="AB19" s="11">
        <v>6</v>
      </c>
      <c r="AC19" s="11">
        <v>6</v>
      </c>
      <c r="AD19" s="11">
        <v>6</v>
      </c>
      <c r="AE19" s="10" t="s">
        <v>382</v>
      </c>
      <c r="AF19" s="33"/>
    </row>
    <row r="20" spans="1:32" ht="15" x14ac:dyDescent="0.55000000000000004">
      <c r="A20" s="8">
        <v>18</v>
      </c>
      <c r="B20" s="9">
        <v>0.96026490066225156</v>
      </c>
      <c r="C20" s="9">
        <v>2.2498412410414588</v>
      </c>
      <c r="D20" s="9">
        <v>2.7002630862741541</v>
      </c>
      <c r="E20" s="9">
        <v>3.281320874535063</v>
      </c>
      <c r="F20" s="9">
        <v>4.9519187154132265</v>
      </c>
      <c r="G20" s="9" t="s">
        <v>382</v>
      </c>
      <c r="H20" s="7"/>
      <c r="I20" s="8">
        <v>18</v>
      </c>
      <c r="J20" s="10">
        <v>549.4</v>
      </c>
      <c r="K20" s="10">
        <v>596.9</v>
      </c>
      <c r="L20" s="10">
        <v>612.9</v>
      </c>
      <c r="M20" s="10">
        <v>638.29999999999995</v>
      </c>
      <c r="N20" s="10">
        <v>282.7</v>
      </c>
      <c r="O20" s="10" t="s">
        <v>382</v>
      </c>
      <c r="P20" s="7"/>
      <c r="Q20" s="8">
        <v>18</v>
      </c>
      <c r="R20" s="11">
        <v>5</v>
      </c>
      <c r="S20" s="11">
        <v>5</v>
      </c>
      <c r="T20" s="11">
        <v>5</v>
      </c>
      <c r="U20" s="11">
        <v>5</v>
      </c>
      <c r="V20" s="11">
        <v>5</v>
      </c>
      <c r="W20" s="10" t="s">
        <v>382</v>
      </c>
      <c r="Y20" s="8">
        <v>18</v>
      </c>
      <c r="Z20" s="11">
        <v>6</v>
      </c>
      <c r="AA20" s="11">
        <v>6</v>
      </c>
      <c r="AB20" s="11">
        <v>6</v>
      </c>
      <c r="AC20" s="11">
        <v>6</v>
      </c>
      <c r="AD20" s="11">
        <v>6</v>
      </c>
      <c r="AE20" s="10" t="s">
        <v>382</v>
      </c>
      <c r="AF20" s="33"/>
    </row>
    <row r="21" spans="1:32" ht="15" x14ac:dyDescent="0.55000000000000004">
      <c r="A21" s="8">
        <v>20</v>
      </c>
      <c r="B21" s="9">
        <v>1.1798058604735553</v>
      </c>
      <c r="C21" s="9">
        <v>2.6408418760772929</v>
      </c>
      <c r="D21" s="9">
        <v>3.3185158305361515</v>
      </c>
      <c r="E21" s="9">
        <v>3.9190782908464121</v>
      </c>
      <c r="F21" s="9">
        <v>5.542955638211013</v>
      </c>
      <c r="G21" s="9" t="s">
        <v>382</v>
      </c>
      <c r="H21" s="7"/>
      <c r="I21" s="8">
        <v>20</v>
      </c>
      <c r="J21" s="10">
        <v>606.6</v>
      </c>
      <c r="K21" s="10">
        <v>654.1</v>
      </c>
      <c r="L21" s="10">
        <v>682.8</v>
      </c>
      <c r="M21" s="10">
        <v>698.5</v>
      </c>
      <c r="N21" s="10">
        <v>282.7</v>
      </c>
      <c r="O21" s="10" t="s">
        <v>382</v>
      </c>
      <c r="P21" s="7"/>
      <c r="Q21" s="8">
        <v>20</v>
      </c>
      <c r="R21" s="11">
        <v>5</v>
      </c>
      <c r="S21" s="11">
        <v>5</v>
      </c>
      <c r="T21" s="11">
        <v>5</v>
      </c>
      <c r="U21" s="11">
        <v>5</v>
      </c>
      <c r="V21" s="11">
        <v>5</v>
      </c>
      <c r="W21" s="10" t="s">
        <v>382</v>
      </c>
      <c r="Y21" s="8">
        <v>20</v>
      </c>
      <c r="Z21" s="11">
        <v>6</v>
      </c>
      <c r="AA21" s="11">
        <v>6</v>
      </c>
      <c r="AB21" s="11">
        <v>6</v>
      </c>
      <c r="AC21" s="11">
        <v>6</v>
      </c>
      <c r="AD21" s="11">
        <v>6</v>
      </c>
      <c r="AE21" s="10" t="s">
        <v>382</v>
      </c>
      <c r="AF21" s="33"/>
    </row>
    <row r="22" spans="1:32" ht="15" x14ac:dyDescent="0.55000000000000004">
      <c r="A22" s="8">
        <v>24</v>
      </c>
      <c r="B22" s="9">
        <v>1.642021228340742</v>
      </c>
      <c r="C22" s="9">
        <v>3.3026399346820283</v>
      </c>
      <c r="D22" s="9">
        <v>4.118660981583961</v>
      </c>
      <c r="E22" s="9">
        <v>5.7030753878254554</v>
      </c>
      <c r="F22" s="9">
        <v>8.0150594212101964</v>
      </c>
      <c r="G22" s="9" t="s">
        <v>382</v>
      </c>
      <c r="H22" s="7"/>
      <c r="I22" s="8">
        <v>24</v>
      </c>
      <c r="J22" s="10">
        <v>717.6</v>
      </c>
      <c r="K22" s="10">
        <v>774.7</v>
      </c>
      <c r="L22" s="10">
        <v>790.7</v>
      </c>
      <c r="M22" s="10">
        <v>838.2</v>
      </c>
      <c r="N22" s="10">
        <v>282.7</v>
      </c>
      <c r="O22" s="10" t="s">
        <v>382</v>
      </c>
      <c r="P22" s="7"/>
      <c r="Q22" s="8">
        <v>24</v>
      </c>
      <c r="R22" s="11">
        <v>5</v>
      </c>
      <c r="S22" s="11">
        <v>5</v>
      </c>
      <c r="T22" s="11">
        <v>5</v>
      </c>
      <c r="U22" s="11">
        <v>5</v>
      </c>
      <c r="V22" s="11">
        <v>5</v>
      </c>
      <c r="W22" s="10" t="s">
        <v>382</v>
      </c>
      <c r="Y22" s="8">
        <v>24</v>
      </c>
      <c r="Z22" s="11">
        <v>6</v>
      </c>
      <c r="AA22" s="11">
        <v>6</v>
      </c>
      <c r="AB22" s="11">
        <v>6</v>
      </c>
      <c r="AC22" s="11">
        <v>6</v>
      </c>
      <c r="AD22" s="11">
        <v>6</v>
      </c>
      <c r="AE22" s="10" t="s">
        <v>382</v>
      </c>
      <c r="AF22" s="33"/>
    </row>
  </sheetData>
  <mergeCells count="15">
    <mergeCell ref="AJ2:AJ3"/>
    <mergeCell ref="AJ1:AK1"/>
    <mergeCell ref="AK2:AK3"/>
    <mergeCell ref="Y1:AE1"/>
    <mergeCell ref="Y2:Y3"/>
    <mergeCell ref="Z2:AE2"/>
    <mergeCell ref="A1:G1"/>
    <mergeCell ref="I1:O1"/>
    <mergeCell ref="Q1:W1"/>
    <mergeCell ref="A2:A3"/>
    <mergeCell ref="B2:G2"/>
    <mergeCell ref="I2:I3"/>
    <mergeCell ref="J2:O2"/>
    <mergeCell ref="Q2:Q3"/>
    <mergeCell ref="R2:W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J13"/>
  <sheetViews>
    <sheetView tabSelected="1" workbookViewId="0">
      <selection activeCell="G1" sqref="G1:H1"/>
    </sheetView>
  </sheetViews>
  <sheetFormatPr baseColWidth="10" defaultRowHeight="14.4" x14ac:dyDescent="0.55000000000000004"/>
  <cols>
    <col min="1" max="1" width="10.9453125" style="99"/>
    <col min="5" max="5" width="10.9453125" customWidth="1"/>
  </cols>
  <sheetData>
    <row r="1" spans="1:10" x14ac:dyDescent="0.55000000000000004">
      <c r="A1" s="101" t="s">
        <v>531</v>
      </c>
      <c r="B1" s="101"/>
      <c r="D1" s="101" t="s">
        <v>532</v>
      </c>
      <c r="E1" s="101"/>
      <c r="G1" s="101" t="s">
        <v>533</v>
      </c>
      <c r="H1" s="101"/>
    </row>
    <row r="2" spans="1:10" x14ac:dyDescent="0.55000000000000004">
      <c r="A2" s="102" t="s">
        <v>108</v>
      </c>
      <c r="B2" s="103" t="s">
        <v>530</v>
      </c>
      <c r="D2" s="102" t="s">
        <v>108</v>
      </c>
      <c r="E2" s="103" t="s">
        <v>530</v>
      </c>
      <c r="G2" s="102" t="s">
        <v>108</v>
      </c>
      <c r="H2" s="103" t="s">
        <v>530</v>
      </c>
    </row>
    <row r="3" spans="1:10" x14ac:dyDescent="0.55000000000000004">
      <c r="A3" s="104">
        <v>0.25</v>
      </c>
      <c r="B3" s="105">
        <f>38.98*EXP(1.1794*A3)</f>
        <v>52.347212790736862</v>
      </c>
      <c r="C3" s="100"/>
      <c r="D3" s="104">
        <v>0.25</v>
      </c>
      <c r="E3" s="105">
        <f>191.76*D3^1.7127</f>
        <v>17.848834961568102</v>
      </c>
      <c r="G3" s="104">
        <v>0.25</v>
      </c>
      <c r="H3" s="105">
        <v>124</v>
      </c>
      <c r="I3" s="107"/>
      <c r="J3" s="107"/>
    </row>
    <row r="4" spans="1:10" x14ac:dyDescent="0.55000000000000004">
      <c r="A4" s="104">
        <v>0.375</v>
      </c>
      <c r="B4" s="105">
        <f>38.98*EXP(1.1794*A4)</f>
        <v>60.662377422326756</v>
      </c>
      <c r="C4" s="100"/>
      <c r="D4" s="104">
        <v>0.375</v>
      </c>
      <c r="E4" s="105">
        <f>191.76*D4^1.7127</f>
        <v>35.74385365028602</v>
      </c>
      <c r="G4" s="104">
        <v>0.375</v>
      </c>
      <c r="H4" s="105">
        <v>217</v>
      </c>
      <c r="I4" s="107"/>
      <c r="J4" s="107"/>
    </row>
    <row r="5" spans="1:10" x14ac:dyDescent="0.55000000000000004">
      <c r="A5" s="104">
        <v>0.5</v>
      </c>
      <c r="B5" s="106">
        <v>55</v>
      </c>
      <c r="C5" s="100"/>
      <c r="D5" s="104">
        <v>0.5</v>
      </c>
      <c r="E5" s="106">
        <v>60</v>
      </c>
      <c r="G5" s="104">
        <v>0.5</v>
      </c>
      <c r="H5" s="106">
        <v>323</v>
      </c>
      <c r="I5" s="107"/>
      <c r="J5" s="107"/>
    </row>
    <row r="6" spans="1:10" x14ac:dyDescent="0.55000000000000004">
      <c r="A6" s="104">
        <v>0.75</v>
      </c>
      <c r="B6" s="106">
        <v>90</v>
      </c>
      <c r="C6" s="100"/>
      <c r="D6" s="104">
        <v>0.75</v>
      </c>
      <c r="E6" s="106">
        <v>110</v>
      </c>
      <c r="G6" s="104">
        <v>0.75</v>
      </c>
      <c r="H6" s="106">
        <v>564</v>
      </c>
      <c r="I6" s="107"/>
      <c r="J6" s="107"/>
    </row>
    <row r="7" spans="1:10" x14ac:dyDescent="0.55000000000000004">
      <c r="A7" s="104">
        <v>1</v>
      </c>
      <c r="B7" s="106">
        <v>132</v>
      </c>
      <c r="C7" s="100"/>
      <c r="D7" s="104">
        <v>1</v>
      </c>
      <c r="E7" s="106">
        <v>162</v>
      </c>
      <c r="G7" s="104">
        <v>1</v>
      </c>
      <c r="H7" s="106">
        <v>839</v>
      </c>
      <c r="I7" s="107"/>
      <c r="J7" s="107"/>
    </row>
    <row r="8" spans="1:10" x14ac:dyDescent="0.55000000000000004">
      <c r="A8" s="104">
        <v>1.25</v>
      </c>
      <c r="B8" s="106">
        <v>218</v>
      </c>
      <c r="C8" s="100"/>
      <c r="D8" s="104">
        <v>1.25</v>
      </c>
      <c r="E8" s="106">
        <v>328</v>
      </c>
      <c r="G8" s="104">
        <v>1.25</v>
      </c>
      <c r="H8" s="106">
        <v>1168</v>
      </c>
      <c r="I8" s="107"/>
      <c r="J8" s="107"/>
    </row>
    <row r="9" spans="1:10" x14ac:dyDescent="0.55000000000000004">
      <c r="A9" s="104">
        <v>1.5</v>
      </c>
      <c r="B9" s="106">
        <v>280</v>
      </c>
      <c r="C9" s="100"/>
      <c r="D9" s="104">
        <v>1.5</v>
      </c>
      <c r="E9" s="106">
        <v>416</v>
      </c>
      <c r="G9" s="104">
        <v>1.5</v>
      </c>
      <c r="H9" s="106">
        <v>1412</v>
      </c>
      <c r="I9" s="107"/>
      <c r="J9" s="107"/>
    </row>
    <row r="10" spans="1:10" x14ac:dyDescent="0.55000000000000004">
      <c r="A10" s="104">
        <v>2</v>
      </c>
      <c r="B10" s="106">
        <v>414</v>
      </c>
      <c r="C10" s="100"/>
      <c r="D10" s="104">
        <v>2</v>
      </c>
      <c r="E10" s="106">
        <v>702</v>
      </c>
      <c r="G10" s="104">
        <v>2</v>
      </c>
      <c r="H10" s="106">
        <v>2214</v>
      </c>
      <c r="I10" s="107"/>
      <c r="J10" s="107"/>
    </row>
    <row r="11" spans="1:10" x14ac:dyDescent="0.55000000000000004">
      <c r="A11" s="104">
        <v>2.5</v>
      </c>
      <c r="B11" s="106">
        <v>608</v>
      </c>
      <c r="C11" s="100"/>
      <c r="D11" s="104">
        <v>2.5</v>
      </c>
      <c r="E11" s="105">
        <f>191.76*D11^1.7127</f>
        <v>921.10655697759239</v>
      </c>
      <c r="G11" s="104">
        <v>2.5</v>
      </c>
      <c r="H11" s="105">
        <v>2967</v>
      </c>
      <c r="I11" s="107"/>
      <c r="J11" s="107"/>
    </row>
    <row r="12" spans="1:10" x14ac:dyDescent="0.55000000000000004">
      <c r="A12" s="104">
        <v>3</v>
      </c>
      <c r="B12" s="105">
        <f>38.98*EXP(1.1794*A12)</f>
        <v>1341.1043483394251</v>
      </c>
      <c r="D12" s="104">
        <v>3</v>
      </c>
      <c r="E12" s="105">
        <v>1118</v>
      </c>
      <c r="G12" s="104">
        <v>3</v>
      </c>
      <c r="H12" s="105">
        <v>3815</v>
      </c>
      <c r="I12" s="107"/>
      <c r="J12" s="107"/>
    </row>
    <row r="13" spans="1:10" x14ac:dyDescent="0.55000000000000004">
      <c r="A13" s="104">
        <v>4</v>
      </c>
      <c r="B13" s="106">
        <v>1978</v>
      </c>
      <c r="C13" s="100"/>
      <c r="D13" s="104">
        <v>4</v>
      </c>
      <c r="E13" s="105">
        <f>191.76*D13^1.7127</f>
        <v>2060.1847503871713</v>
      </c>
      <c r="G13" s="104">
        <v>4</v>
      </c>
      <c r="H13" s="105">
        <v>5673</v>
      </c>
      <c r="I13" s="107"/>
      <c r="J13" s="107"/>
    </row>
  </sheetData>
  <mergeCells count="3">
    <mergeCell ref="A1:B1"/>
    <mergeCell ref="D1:E1"/>
    <mergeCell ref="G1:H1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tabActivate">
  <ribbon startFromScratch="false">
    <tabs>
      <tab id="CLPSpreadsheetSolver" label="CLP Spreadsheet Solver">
        <group id="customGroup1" label="Reset" autoScale="true">
          <button id="customButton1" label="0. Reset the workbook" imageMso="Delete" size="large" onAction="ResetWorkbookRibbonCall"/>
        </group>
        <group id="customGroup2" label="1.Items" imageMso="_3DExtrusionDepthNoneClassic">
          <menu id="menu1" label="1.Items" imageMso="_3DExtrusionDepthNoneClassic" size="large">
            <button id="customButton2" label="1.1. Setup Items Worksheet" imageMso="AdpDiagramAddTable" onAction="SetupItemsWorksheetRibbonCall"/>
            <button id="customButton3" label="1.2. Sort items alphabetically" imageMso="SortUp" onAction="SortItemsRibbonCall"/>
            <button id="customButton4" label="1.3. Setup item-item compatibility worksheet" imageMso="AdpDiagramAddTable" onAction="SetupItemItemCompatibilityWorksheetRibbonCall"/>
          </menu>
        </group>
        <group id="customGroup3" label="2.Containers" imageMso="NotebookColor2">
          <menu id="menu2" label="2.Containers" imageMso="NotebookColor2" size="large">
            <button id="customButton5" label="2.1. Setup Containers Worksheet" imageMso="AdpDiagramAddTable" onAction="SetupContainersWorksheetRibbonCall"/>
            <button id="customButton6" label="2.2. Sort containers alphabetically" imageMso="SortUp" onAction="SortContainerTypesRibbonCall"/>
            <button id="customButton7" label="2.3. Setup container-item compatibility worksheet" imageMso="AdpDiagramAddTable" onAction="SetupContainerItemCompatibilityWorksheetRibbonCall"/>
          </menu>
        </group>
        <group id="customGroup4" label="3.Solution">
          <button id="customButton8" label="3. Setup Solution Worksheet" imageMso="AdpDiagramAddTable" size="large" onAction="SetupSolutionWorksheetRibbonCall"/>
        </group>
        <group id="customGroup5" label="4.Visualization">
          <menu id="menu3" label="4.Visualization" imageMso="ObjectsArrangeMenu" size="large">
            <button id="customButton9" label="4.1. Setup Visualization Worksheet" imageMso="AdpDiagramAddTable" onAction="SetupVisualizationWorksheetRibbonCall"/>
            <button id="customButton10" label="4.2. Animate the loading plan" imageMso="ObjectsArrangeMenu" onAction="AnimateVisualizationWorksheetRibbonCall"/>
          </menu>
        </group>
        <group id="customGroup6" label="Solver" imageMso="AnimationStartDropdown">
          <menu id="menu4" label="Solver" imageMso="AnimationStartDropdown" size="large">
            <button id="customButton11" label="5.1. Engage CLP Spreadsheet Solver" imageMso="AnimationStartDropdown" onAction="CLP_Solver_ribbon_call"/>
            <button id="customButton12" label="5.2. Feasibility Check" imageMso="AdvancedFind" onAction="FeasibilityCheckDataAndSolutionRibbonCall"/>
          </menu>
        </group>
        <group id="customGroup7" label="Info" imageMso="Info">
          <menu id="menu5" label="Info" imageMso="Info" size="large">
            <button id="customButton13" label="Send feedback or ask a question" imageMso="ContactCardSendEmail" onAction="SendFeedbackRibbonCall"/>
            <button id="customButton14" label="Watch the tutorial video on YouTube" imageMso="MovieFromFileInsert" onAction="WatchTutorialRibbonCall"/>
            <button id="customButton15" label="About" imageMso="Info" onAction="AboutRibbonCall"/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cajas</vt:lpstr>
      <vt:lpstr>inputs</vt:lpstr>
      <vt:lpstr>Principal</vt:lpstr>
      <vt:lpstr>CLP Solver Console</vt:lpstr>
      <vt:lpstr>KITS</vt:lpstr>
      <vt:lpstr>SOFTGASKET</vt:lpstr>
      <vt:lpstr>ESPÁRRAGOS</vt:lpstr>
      <vt:lpstr>RING JOINTS</vt:lpstr>
      <vt:lpstr>ESPIROMETALICOS</vt:lpstr>
      <vt:lpstr>ACOPLES</vt:lpstr>
    </vt:vector>
  </TitlesOfParts>
  <Company>University of Bath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Gunes Erdogan</dc:creator>
  <cp:lastModifiedBy>Santiago Andres Pereira Pabon</cp:lastModifiedBy>
  <cp:lastPrinted>2018-04-10T12:44:50Z</cp:lastPrinted>
  <dcterms:created xsi:type="dcterms:W3CDTF">2013-07-17T23:20:08Z</dcterms:created>
  <dcterms:modified xsi:type="dcterms:W3CDTF">2018-04-25T16:14:16Z</dcterms:modified>
</cp:coreProperties>
</file>